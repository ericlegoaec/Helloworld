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ustomProperty2.bin" ContentType="application/vnd.openxmlformats-officedocument.spreadsheetml.customProperty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6300" windowHeight="1170"/>
  </bookViews>
  <sheets>
    <sheet name="Help" sheetId="3" r:id="rId1"/>
    <sheet name="Sheet1" sheetId="1" r:id="rId2"/>
    <sheet name="Staging Blotter" sheetId="2" r:id="rId3"/>
  </sheets>
  <functionGroups builtInGroupCount="17"/>
  <definedNames>
    <definedName name="_002CDFA41EB34C40B46B9ECB7B2BF412" hidden="1">'Staging Blotter'!#REF!</definedName>
    <definedName name="_01F143BD68858946BE8863372AAEA92A" hidden="1">'Staging Blotter'!#REF!</definedName>
    <definedName name="_03E7F5600DD87247BE821FE31F7EDF0C" hidden="1">'Staging Blotter'!#REF!</definedName>
    <definedName name="_08DA5BB5B3211041BABDF3E71156885C" hidden="1">'Staging Blotter'!#REF!</definedName>
    <definedName name="_0A98FA69F57A4E409FB95D98D4121050" hidden="1">'Staging Blotter'!#REF!</definedName>
    <definedName name="_0ABCD8FBA28743449BB92A85AD10107D" hidden="1">'Staging Blotter'!#REF!</definedName>
    <definedName name="_0F08C430BD3484469BE26F91DB58E9C7" hidden="1">'Staging Blotter'!#REF!</definedName>
    <definedName name="_12AD354666E77D4F89309D9D2D7E215C" hidden="1">'Staging Blotter'!#REF!</definedName>
    <definedName name="_13866D4D2EC86845B99F512FE661F851" hidden="1">'Staging Blotter'!#REF!</definedName>
    <definedName name="_154D7669C2C20E478191101EAC88F776" hidden="1">'Staging Blotter'!#REF!</definedName>
    <definedName name="_15FDF07C6972574FB887010C2104FA1A" hidden="1">'Staging Blotter'!#REF!</definedName>
    <definedName name="_16879540868E4E4FBA7EFB55980FAC26" hidden="1">Sheet1!$C$4</definedName>
    <definedName name="_1931F3D74EA5F843BB6E34FAC3E6CA91" hidden="1">'Staging Blotter'!#REF!</definedName>
    <definedName name="_1F5731C5F8B1154AB9A9BACFA6862E8A" hidden="1">'Staging Blotter'!#REF!</definedName>
    <definedName name="_2170C915946FD74E9593F836FC4E1C65" hidden="1">'Staging Blotter'!#REF!</definedName>
    <definedName name="_2804A9429FD28C46AF17FD554176D8B7" hidden="1">'Staging Blotter'!#REF!</definedName>
    <definedName name="_297D547F2435174DA22D389C4E7CB96B" hidden="1">'Staging Blotter'!#REF!</definedName>
    <definedName name="_2C124B2928635E438BA1065F997C4926" hidden="1">'Staging Blotter'!#REF!</definedName>
    <definedName name="_2CBFD2B1B003F345BA9E68F24AC8C4E0" hidden="1">'Staging Blotter'!#REF!</definedName>
    <definedName name="_2D958EE8DA57A54091A0B922016AFCBE" hidden="1">'Staging Blotter'!#REF!</definedName>
    <definedName name="_2EF26D0C7F654741BC02E70BBA4D46B9" hidden="1">'Staging Blotter'!#REF!</definedName>
    <definedName name="_35B84773994EE243B706F1290EBC776A" hidden="1">'Staging Blotter'!#REF!</definedName>
    <definedName name="_3C2C30A9E53EBE4795E3BF78B0BA8F9B" hidden="1">'Staging Blotter'!#REF!</definedName>
    <definedName name="_3F2AF098ECED8740BD283305ABF4AED4" hidden="1">'Staging Blotter'!#REF!</definedName>
    <definedName name="_4054627632DAE84CB4C22B0DF062DBE6" hidden="1">'Staging Blotter'!#REF!</definedName>
    <definedName name="_47305472C5342E4EBBCEE20E7E850D6D" hidden="1">'Staging Blotter'!#REF!</definedName>
    <definedName name="_47D0B1003795354CBBA5D3962D68AE96" hidden="1">'Staging Blotter'!#REF!</definedName>
    <definedName name="_49AA8BF9C7D52D49B873321319A50266" hidden="1">'Staging Blotter'!#REF!</definedName>
    <definedName name="_4A791BDBA17D7F46B44C65B0D0FA9D64" hidden="1">'Staging Blotter'!#REF!</definedName>
    <definedName name="_4ACE784077B2B1489A071C5DA0AA98D3" hidden="1">'Staging Blotter'!#REF!</definedName>
    <definedName name="_4E1AAFB52C9C114D890CD448BE87064F" hidden="1">'Staging Blotter'!#REF!</definedName>
    <definedName name="_50BB9E7DFACD3345A3BFB213D1708DE9" hidden="1">'Staging Blotter'!#REF!</definedName>
    <definedName name="_51E8484BF6B15C4F801255CFCFC5A70A" hidden="1">'Staging Blotter'!#REF!</definedName>
    <definedName name="_52128336A970284188E0BE1388579900" hidden="1">'Staging Blotter'!#REF!</definedName>
    <definedName name="_53B8F0F735224241A4895C784C2A43BE" hidden="1">'Staging Blotter'!#REF!</definedName>
    <definedName name="_5A84BD437BF3D34B99515EDC0BBC1F79" hidden="1">'Staging Blotter'!#REF!</definedName>
    <definedName name="_5B91BAC863463E4385BB3D8FECAAE24E" hidden="1">Sheet1!$C$4</definedName>
    <definedName name="_5C954593DF41B44B99F418F76B8AAAD1" hidden="1">'Staging Blotter'!#REF!</definedName>
    <definedName name="_5F3A61F5E7EA624887AFD5AB086FA863" hidden="1">'Staging Blotter'!#REF!</definedName>
    <definedName name="_5F44AC8807EA0B46B05839A255A6849B" hidden="1">Sheet1!$C$4</definedName>
    <definedName name="_5F89AD674E903144A4C240FC40FF8D6F" hidden="1">'Staging Blotter'!#REF!</definedName>
    <definedName name="_60EAC2ACF81435498B7182B94A534847" hidden="1">'Staging Blotter'!#REF!</definedName>
    <definedName name="_62685603FA516A4CBED030AF58C8F79F" hidden="1">'Staging Blotter'!#REF!</definedName>
    <definedName name="_62CFC961E774F1498B102E9B290B1EB8" hidden="1">'Staging Blotter'!#REF!</definedName>
    <definedName name="_64EA5E8F0B4C84489AC8367A1E8687CD" hidden="1">'Staging Blotter'!#REF!</definedName>
    <definedName name="_669E987D08BBCE468BFA66976760DC7C" hidden="1">'Staging Blotter'!#REF!</definedName>
    <definedName name="_6A952CB281FC0647BF6CD8F9E4D7F9E9" hidden="1">'Staging Blotter'!#REF!</definedName>
    <definedName name="_6D048228DFE76C4F8ADE0C6E7D02EFC9" hidden="1">'Staging Blotter'!#REF!</definedName>
    <definedName name="_6DEE67D3BF84F343A9CD8F2937225C0A" hidden="1">'Staging Blotter'!#REF!</definedName>
    <definedName name="_7327D4593A39BA4EBC721EAFE4BF6807" hidden="1">Sheet1!$C$4</definedName>
    <definedName name="_75358CB930726644BFC3E68793824B70" hidden="1">'Staging Blotter'!#REF!</definedName>
    <definedName name="_7E724828BD6F624BA27A80BE05D698A4" hidden="1">'Staging Blotter'!#REF!</definedName>
    <definedName name="_7F33746970695E4BA2EF89F7F09467E9" hidden="1">'Staging Blotter'!#REF!</definedName>
    <definedName name="_7F836B50EC9A594FA9220E5622534F35" hidden="1">'Staging Blotter'!#REF!</definedName>
    <definedName name="_7FC55F2CB4B20649AF31CF82C7720170" hidden="1">'Staging Blotter'!#REF!</definedName>
    <definedName name="_8243E81042CD7649863332A2C633D6C7" hidden="1">'Staging Blotter'!#REF!</definedName>
    <definedName name="_84056741BF557641B8C0F1211D40DB7B" hidden="1">'Staging Blotter'!#REF!</definedName>
    <definedName name="_84BF7B9BE878B54F8DB765B2A98DF024" hidden="1">'Staging Blotter'!#REF!</definedName>
    <definedName name="_8566C4EB1BBE8C40BDB948DDE97DC62A" hidden="1">'Staging Blotter'!#REF!</definedName>
    <definedName name="_898920D37C205047B597EFA06948DB91" hidden="1">'Staging Blotter'!#REF!</definedName>
    <definedName name="_8A7AD9A850A7E24CB642CE2B44007069" hidden="1">'Staging Blotter'!#REF!</definedName>
    <definedName name="_8EEB666073C56D4DA51D9F0F5944C965" hidden="1">'Staging Blotter'!#REF!</definedName>
    <definedName name="_8F9DA7EF2923F84E80874E3D1C0AB40A" hidden="1">'Staging Blotter'!#REF!</definedName>
    <definedName name="_90AE6E55B04D4C458898588B19A8C387" hidden="1">'Staging Blotter'!#REF!</definedName>
    <definedName name="_91CF2D452A6F2942B88026F2305BDC5D" hidden="1">'Staging Blotter'!#REF!</definedName>
    <definedName name="_950298A52DB3964B9420D3422D8DC7A3" hidden="1">'Staging Blotter'!#REF!</definedName>
    <definedName name="_96E077783892BB41B44F816C48748341" hidden="1">'Staging Blotter'!#REF!</definedName>
    <definedName name="_9920BF0DC0E4624386B32B567D474FBE" hidden="1">'Staging Blotter'!#REF!</definedName>
    <definedName name="_9F2C34557AA88E4AA91C2298BAA84217" hidden="1">'Staging Blotter'!#REF!</definedName>
    <definedName name="_A33803671CD132479C7680CA67597821" hidden="1">'Staging Blotter'!#REF!</definedName>
    <definedName name="_A5CC88A39015F0478EC996E43296FBA1" hidden="1">'Staging Blotter'!#REF!</definedName>
    <definedName name="_ABC08CD26F00A54A850899F56383A080" hidden="1">'Staging Blotter'!#REF!</definedName>
    <definedName name="_AF9CC533F34CEC4A9131C0907AC7C65D" hidden="1">'Staging Blotter'!#REF!</definedName>
    <definedName name="_B3598BB15049004DA55A8D7F270594DA" hidden="1">'Staging Blotter'!#REF!</definedName>
    <definedName name="_B81472CE5F573649B47063457CA1084C" hidden="1">'Staging Blotter'!#REF!</definedName>
    <definedName name="_B903312C94713849A75243E5AC182EB1" hidden="1">'Staging Blotter'!#REF!</definedName>
    <definedName name="_BA0EA81FDE9EBD4AB8AE9A52B52E2B5D" hidden="1">'Staging Blotter'!#REF!</definedName>
    <definedName name="_BB796CE2F4860F4E9CD77FDF23EDAEF4" hidden="1">'Staging Blotter'!#REF!</definedName>
    <definedName name="_BC445CA8F3736448A6ECEF8FF6F4C072" hidden="1">'Staging Blotter'!#REF!</definedName>
    <definedName name="_BEDAC64473E2A04FB7710033E53AB56A" hidden="1">'Staging Blotter'!#REF!</definedName>
    <definedName name="_C4EEBC24C1E8864C8F088074EB6F5059" hidden="1">'Staging Blotter'!#REF!</definedName>
    <definedName name="_C6BAA71B88EA7649A6EEF87A8C3FAC36" hidden="1">'Staging Blotter'!#REF!</definedName>
    <definedName name="_C91EB0E33FB80A4FB5D1D30B3FE21623" hidden="1">'Staging Blotter'!#REF!</definedName>
    <definedName name="_C94E292B9D8CDD428578F8B5F7692AEC" hidden="1">'Staging Blotter'!#REF!</definedName>
    <definedName name="_C975692E621A5F4A9FC234BD8143FBC0" hidden="1">'Staging Blotter'!#REF!</definedName>
    <definedName name="_CBBAD1CD238BDD449A462354E5410632" hidden="1">'Staging Blotter'!#REF!</definedName>
    <definedName name="_CEC0319BACEECD48B7C1B14D37C6581A" hidden="1">'Staging Blotter'!#REF!</definedName>
    <definedName name="_D0A39CFA4591E6449A17E09907CB77AB" hidden="1">'Staging Blotter'!#REF!</definedName>
    <definedName name="_D3B9C70C9DD3B34F99F5F98FBBCA20D8" hidden="1">'Staging Blotter'!#REF!</definedName>
    <definedName name="_D7ED3E8C7838EB4DAE6701129388377C" hidden="1">'Staging Blotter'!#REF!</definedName>
    <definedName name="_D96DAD4A75512B42914529FDE584D22B" hidden="1">'Staging Blotter'!#REF!</definedName>
    <definedName name="_DA63E55EB8D41546B4B71070A6945E6C" hidden="1">'Staging Blotter'!#REF!</definedName>
    <definedName name="_DCA3A1978778004D895BE9C15F585774" hidden="1">'Staging Blotter'!#REF!</definedName>
    <definedName name="_DE25744140181B4E9B34F885CD1498A7" hidden="1">'Staging Blotter'!#REF!</definedName>
    <definedName name="_DE744CEBA619C94F8E64C5E2B1D1F4C7" hidden="1">'Staging Blotter'!#REF!</definedName>
    <definedName name="_DF7D790C3306D84E8D6BE14F683915B5" hidden="1">'Staging Blotter'!#REF!</definedName>
    <definedName name="_E218792072554948A0E2AC8DA0E8ED69" hidden="1">'Staging Blotter'!#REF!</definedName>
    <definedName name="_E27D54AF06FE1749A52DEFD5A84CA50E" hidden="1">Sheet1!$C$4</definedName>
    <definedName name="_E448EEBC10B0BF408B289B241EE1394F" hidden="1">Sheet1!$C$4</definedName>
    <definedName name="_E4ADE4D4858297479F39DBF7C1A9565F" hidden="1">'Staging Blotter'!#REF!</definedName>
    <definedName name="_E4BFBD5438C32445857E3B23C674EC5B" hidden="1">'Staging Blotter'!#REF!</definedName>
    <definedName name="_E677CDC280098A48A47EFAE08A8B6699" hidden="1">'Staging Blotter'!#REF!</definedName>
    <definedName name="_E7A70A8C75790C4F819BA06813E3F607" hidden="1">'Staging Blotter'!#REF!</definedName>
    <definedName name="_E80211782F0C034F8FA939E832B84EED" hidden="1">'Staging Blotter'!#REF!</definedName>
    <definedName name="_E96C3EF579B3BF4F94DB775A606C4210" hidden="1">Sheet1!$C$4</definedName>
    <definedName name="_E975587DDC1FFF439063AB5E0F7EA910" hidden="1">Sheet1!$C$4</definedName>
    <definedName name="_EA83CE947A6F4C4CB371373565994D2A" hidden="1">Sheet1!$C$4</definedName>
    <definedName name="_EB1C4729DC2A9A4994E0190EADE780A5" hidden="1">'Staging Blotter'!#REF!</definedName>
    <definedName name="_EB5B5A52D48E644282B3D46BCB579502" hidden="1">'Staging Blotter'!#REF!</definedName>
    <definedName name="_EBDC5F28FEE7344EB7EF5CE1E4718534" hidden="1">'Staging Blotter'!#REF!</definedName>
    <definedName name="_ECE523AF39F00F49B8F34732E41A708E" hidden="1">'Staging Blotter'!#REF!</definedName>
    <definedName name="_EDDE49F650B73A48B1EF8C9C02CCC998" hidden="1">'Staging Blotter'!#REF!</definedName>
    <definedName name="_EE1826134C3CCE4B9DE9B1B152A3E7DB" hidden="1">'Staging Blotter'!#REF!</definedName>
    <definedName name="_F6C1AF40AEFC9E4F83B2E33BCE7BE117" hidden="1">'Staging Blotter'!#REF!</definedName>
    <definedName name="_F778835711B9504CBFF9C626DB21D083" hidden="1">Sheet1!$C$4</definedName>
    <definedName name="_F943B45DB68F85478E3B55F5EB3E78C4" hidden="1">'Staging Blotter'!#REF!</definedName>
    <definedName name="_FB4EC9656BB5B443A5C79625A7E30EDD" hidden="1">'Staging Blotter'!#REF!</definedName>
    <definedName name="_FB8C96BB0F7F7C4097A78E81DD186A87" hidden="1">Sheet1!$C$4</definedName>
    <definedName name="_FBC88255BC90894E817D5B17FD7B565C" hidden="1">'Staging Blotter'!#REF!</definedName>
    <definedName name="_FC0C46DAF59CD142B76A890042B618C1" hidden="1">'Staging Blotter'!#REF!</definedName>
    <definedName name="EMSX_STAGE_INSERTROW">'Staging Blotter'!$A$3:$O$3</definedName>
    <definedName name="StatusStart">Sheet1!$R$7</definedName>
    <definedName name="TickerStart">Sheet1!$C$7</definedName>
  </definedNames>
  <calcPr calcId="145621"/>
</workbook>
</file>

<file path=xl/calcChain.xml><?xml version="1.0" encoding="utf-8"?>
<calcChain xmlns="http://schemas.openxmlformats.org/spreadsheetml/2006/main">
  <c r="C16" i="1" l="1"/>
  <c r="D17" i="1"/>
  <c r="C10" i="1"/>
  <c r="C11" i="1"/>
  <c r="C12" i="1"/>
  <c r="C13" i="1"/>
  <c r="C14" i="1"/>
  <c r="H11" i="1"/>
  <c r="H10" i="1"/>
  <c r="H8" i="1"/>
  <c r="H14" i="1"/>
  <c r="H12" i="1"/>
  <c r="H16" i="1"/>
  <c r="H9" i="1"/>
  <c r="H13" i="1"/>
  <c r="F16" i="1" l="1"/>
  <c r="I16" i="1" s="1"/>
  <c r="E8" i="1"/>
  <c r="F8" i="1" s="1"/>
  <c r="I8" i="1" s="1"/>
  <c r="E9" i="1"/>
  <c r="F9" i="1" s="1"/>
  <c r="I9" i="1" s="1"/>
  <c r="E10" i="1"/>
  <c r="F10" i="1" s="1"/>
  <c r="I10" i="1" s="1"/>
  <c r="E11" i="1"/>
  <c r="F11" i="1" s="1"/>
  <c r="I11" i="1" s="1"/>
  <c r="E12" i="1"/>
  <c r="F12" i="1" s="1"/>
  <c r="I12" i="1" s="1"/>
  <c r="E13" i="1"/>
  <c r="F13" i="1" s="1"/>
  <c r="I13" i="1" s="1"/>
  <c r="E14" i="1"/>
  <c r="F14" i="1" s="1"/>
  <c r="I14" i="1" s="1"/>
  <c r="E7" i="1"/>
  <c r="F7" i="1" s="1"/>
  <c r="H7" i="1"/>
  <c r="I7" i="1" l="1"/>
</calcChain>
</file>

<file path=xl/sharedStrings.xml><?xml version="1.0" encoding="utf-8"?>
<sst xmlns="http://schemas.openxmlformats.org/spreadsheetml/2006/main" count="130" uniqueCount="73">
  <si>
    <t>Ticker</t>
  </si>
  <si>
    <t>Weighting</t>
  </si>
  <si>
    <t>Trade ($)</t>
  </si>
  <si>
    <t>Hedge Ratio</t>
  </si>
  <si>
    <t>Last Price (RT)</t>
  </si>
  <si>
    <t>Quantity</t>
  </si>
  <si>
    <t>Side</t>
  </si>
  <si>
    <t>Type</t>
  </si>
  <si>
    <t>TIF</t>
  </si>
  <si>
    <t>GTD</t>
  </si>
  <si>
    <t>Broker</t>
  </si>
  <si>
    <t>Account</t>
  </si>
  <si>
    <t>HandInst</t>
  </si>
  <si>
    <t>BUY</t>
  </si>
  <si>
    <t>MKT</t>
  </si>
  <si>
    <t>Day</t>
  </si>
  <si>
    <t>ANY</t>
  </si>
  <si>
    <t xml:space="preserve"> </t>
  </si>
  <si>
    <t>ESA</t>
  </si>
  <si>
    <t>SELL</t>
  </si>
  <si>
    <t>Limit Price</t>
  </si>
  <si>
    <t>BLG Symbol</t>
  </si>
  <si>
    <t>Sequence Number</t>
  </si>
  <si>
    <t>Route Number</t>
  </si>
  <si>
    <t>Stop Price</t>
  </si>
  <si>
    <t>LMT</t>
  </si>
  <si>
    <t>LmtPrc</t>
  </si>
  <si>
    <t>Action Trigger</t>
  </si>
  <si>
    <t>Action</t>
  </si>
  <si>
    <t>Request Status</t>
  </si>
  <si>
    <t>Order Type</t>
  </si>
  <si>
    <t>Amount</t>
  </si>
  <si>
    <t>Handling instruction</t>
  </si>
  <si>
    <t>GTD Date</t>
  </si>
  <si>
    <t>Status</t>
  </si>
  <si>
    <t>BB</t>
  </si>
  <si>
    <t>AAPL US Equity</t>
  </si>
  <si>
    <t>VZ US Equity</t>
  </si>
  <si>
    <t>XOM US Equity</t>
  </si>
  <si>
    <t>XOM</t>
  </si>
  <si>
    <t>VZ</t>
  </si>
  <si>
    <t>AAPL</t>
  </si>
  <si>
    <t>JNJ</t>
  </si>
  <si>
    <t>JPM</t>
  </si>
  <si>
    <t>WMT</t>
  </si>
  <si>
    <t>KO</t>
  </si>
  <si>
    <t>GE</t>
  </si>
  <si>
    <t>1) Make sure the UUID of the desktop using this Excel Add-In is properly permissioned to use EMSX API</t>
  </si>
  <si>
    <t>3) Click on either Trading or EMSX Control Panel from the Bloomberg Ribbon</t>
  </si>
  <si>
    <t>4) Click Start Engine on the EMSX Control Panel</t>
  </si>
  <si>
    <t>5) Click Send Order</t>
  </si>
  <si>
    <t>2) Click Sheet 1</t>
  </si>
  <si>
    <t>3) Click Bloomberg Tab</t>
  </si>
  <si>
    <t>*This Sample is using the Staging Blotter from Excel Add-In to submit orders to EMSX  and various execution venues</t>
  </si>
  <si>
    <r>
      <t>*</t>
    </r>
    <r>
      <rPr>
        <i/>
        <sz val="11"/>
        <color theme="1"/>
        <rFont val="Calibri"/>
        <family val="2"/>
        <scheme val="minor"/>
      </rPr>
      <t xml:space="preserve">There is no error handling feature as part of this sample. Please step through the VBA code to troubleshoot. </t>
    </r>
  </si>
  <si>
    <t>/* Copyright 2013. Bloomberg Finance L.P.</t>
  </si>
  <si>
    <t xml:space="preserve"> *</t>
  </si>
  <si>
    <t xml:space="preserve"> * Permission is hereby granted, free of charge, to any person obtaining a copy</t>
  </si>
  <si>
    <t xml:space="preserve"> * of this software and associated documentation files (the "Software"), to</t>
  </si>
  <si>
    <t xml:space="preserve"> * deal in the Software without restriction, including without limitation the</t>
  </si>
  <si>
    <t xml:space="preserve"> * rights to use, copy, modify, merge, publish, distribute, sublicense, and/or</t>
  </si>
  <si>
    <t xml:space="preserve"> * sell copies of the Software, and to permit persons to whom the Software is</t>
  </si>
  <si>
    <t xml:space="preserve"> * furnished to do so, subject to the following conditions:  The above</t>
  </si>
  <si>
    <t xml:space="preserve"> * copyright notice and this permission notice shall be included in all copies</t>
  </si>
  <si>
    <t xml:space="preserve"> * or substantial portions of the Software.</t>
  </si>
  <si>
    <t xml:space="preserve"> * THE SOFTWARE IS PROVIDED "AS IS", WITHOUT WARRANTY OF ANY KIND, EXPRESS OR</t>
  </si>
  <si>
    <t xml:space="preserve"> * IMPLIED, INCLUDING BUT NOT LIMITED TO THE WARRANTIES OF MERCHANTABILITY,</t>
  </si>
  <si>
    <t xml:space="preserve"> * FITNESS FOR A PARTICULAR PURPOSE AND NONINFRINGEMENT. IN NO EVENT SHALL THE</t>
  </si>
  <si>
    <t xml:space="preserve"> * AUTHORS OR COPYRIGHT HOLDERS BE LIABLE FOR ANY CLAIM, DAMAGES OR OTHER</t>
  </si>
  <si>
    <t xml:space="preserve"> * LIABILITY, WHETHER IN AN ACTION OF CONTRACT, TORT OR OTHERWISE, ARISING</t>
  </si>
  <si>
    <t xml:space="preserve"> * FROM, OUT OF OR IN CONNECTION WITH THE SOFTWARE OR THE USE OR OTHER DEALINGS</t>
  </si>
  <si>
    <t xml:space="preserve"> * IN THE SOFTWARE.</t>
  </si>
  <si>
    <t xml:space="preserve">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</si>
</sst>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-&quot;£&quot;* #,##0.00_-;\-&quot;£&quot;* #,##0.00_-;_-&quot;£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E86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BCBBB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4" fontId="1" fillId="0" borderId="0" applyFont="0" applyFill="0" applyBorder="0" applyAlignment="0" applyProtection="0"/>
    <xf numFmtId="0" fontId="1" fillId="2" borderId="1"/>
    <xf numFmtId="0" fontId="1" fillId="3" borderId="1"/>
    <xf numFmtId="0" fontId="1" fillId="4" borderId="1"/>
    <xf numFmtId="0" fontId="1" fillId="5" borderId="1"/>
    <xf numFmtId="0" fontId="1" fillId="6" borderId="1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Font="1"/>
    <xf numFmtId="164" fontId="1" fillId="0" borderId="0" xfId="1" applyNumberFormat="1" applyFont="1"/>
    <xf numFmtId="10" fontId="0" fillId="0" borderId="0" xfId="0" applyNumberFormat="1"/>
    <xf numFmtId="164" fontId="0" fillId="0" borderId="0" xfId="1" applyNumberFormat="1" applyFont="1"/>
    <xf numFmtId="37" fontId="0" fillId="0" borderId="0" xfId="0" applyNumberFormat="1"/>
    <xf numFmtId="0" fontId="0" fillId="7" borderId="0" xfId="0" applyFill="1"/>
    <xf numFmtId="0" fontId="1" fillId="3" borderId="1" xfId="3"/>
    <xf numFmtId="0" fontId="1" fillId="6" borderId="1" xfId="6"/>
    <xf numFmtId="14" fontId="1" fillId="3" borderId="1" xfId="3" applyNumberFormat="1"/>
    <xf numFmtId="0" fontId="2" fillId="0" borderId="0" xfId="0" applyFont="1" applyFill="1"/>
    <xf numFmtId="0" fontId="0" fillId="0" borderId="0" xfId="0" applyFill="1"/>
    <xf numFmtId="0" fontId="0" fillId="8" borderId="0" xfId="0" applyFill="1" applyBorder="1"/>
    <xf numFmtId="0" fontId="0" fillId="8" borderId="0" xfId="0" applyFill="1"/>
    <xf numFmtId="0" fontId="0" fillId="0" borderId="0" xfId="0"/>
    <xf numFmtId="37" fontId="0" fillId="0" borderId="0" xfId="0" applyNumberFormat="1"/>
    <xf numFmtId="0" fontId="4" fillId="9" borderId="0" xfId="0" applyFont="1" applyFill="1"/>
    <xf numFmtId="0" fontId="5" fillId="0" borderId="0" xfId="0" applyFont="1"/>
  </cellXfs>
  <cellStyles count="17">
    <cellStyle name="Comma 2" xfId="7"/>
    <cellStyle name="Comma 3" xfId="8"/>
    <cellStyle name="Currency" xfId="1" builtinId="4"/>
    <cellStyle name="Currency 2" xfId="9"/>
    <cellStyle name="Currency 3" xfId="10"/>
    <cellStyle name="EMSXHiLite" xfId="4"/>
    <cellStyle name="EMSXInput" xfId="3"/>
    <cellStyle name="EMSXInsert" xfId="5"/>
    <cellStyle name="EMSXNormal" xfId="2"/>
    <cellStyle name="EMSXOutput" xfId="6"/>
    <cellStyle name="Normal" xfId="0" builtinId="0"/>
    <cellStyle name="Normal 2" xfId="11"/>
    <cellStyle name="Normal 3" xfId="12"/>
    <cellStyle name="Normal 4" xfId="13"/>
    <cellStyle name="Normal 5" xfId="14"/>
    <cellStyle name="Percent 2" xfId="15"/>
    <cellStyle name="Percent 3" xfId="1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40.270000000000003</v>
        <stp/>
        <stp>##V3_BDPV12</stp>
        <stp>KO US EQUITY</stp>
        <stp>LAST_PRICE</stp>
        <stp>[Excel_Add_In_Sample_v3.xlsm]Sheet1!R13C8</stp>
        <tr r="H13" s="1"/>
      </tp>
      <tp>
        <v>27.350100000000001</v>
        <stp/>
        <stp>##V3_BDPV12</stp>
        <stp>GE US EQUITY</stp>
        <stp>LAST_PRICE</stp>
        <stp>[Excel_Add_In_Sample_v3.xlsm]Sheet1!R14C8</stp>
        <tr r="H14" s="1"/>
      </tp>
      <tp>
        <v>72.63</v>
        <stp/>
        <stp>##V3_BDPV12</stp>
        <stp>WMT US EQUITY</stp>
        <stp>LAST_PRICE</stp>
        <stp>[Excel_Add_In_Sample_v3.xlsm]Sheet1!R12C8</stp>
        <tr r="H12" s="1"/>
      </tp>
      <tp>
        <v>98.58</v>
        <stp/>
        <stp>##V3_BDPV12</stp>
        <stp>JNJ US EQUITY</stp>
        <stp>LAST_PRICE</stp>
        <stp>[Excel_Add_In_Sample_v3.xlsm]Sheet1!R10C8</stp>
        <tr r="H10" s="1"/>
      </tp>
      <tp>
        <v>68.34</v>
        <stp/>
        <stp>##V3_BDPV12</stp>
        <stp>JPM US EQUITY</stp>
        <stp>LAST_PRICE</stp>
        <stp>[Excel_Add_In_Sample_v3.xlsm]Sheet1!R11C8</stp>
        <tr r="H11" s="1"/>
      </tp>
    </main>
    <main first="bloomberg.rtd">
      <tp>
        <v>127.26009999999999</v>
        <stp/>
        <stp>##V3_BDPV12</stp>
        <stp>AAPL US Equity</stp>
        <stp>LAST_PRICE</stp>
        <stp>[Excel_Add_In_Sample_v3.xlsm]Sheet1!R7C8</stp>
        <tr r="H7" s="1"/>
      </tp>
      <tp>
        <v>84.9</v>
        <stp/>
        <stp>##V3_BDPV12</stp>
        <stp>XOM US Equity</stp>
        <stp>LAST_PRICE</stp>
        <stp>[Excel_Add_In_Sample_v3.xlsm]Sheet1!R9C8</stp>
        <tr r="H9" s="1"/>
      </tp>
      <tp>
        <v>2091.5</v>
        <stp/>
        <stp>##V3_BDPV12</stp>
        <stp>ESA INDEX</stp>
        <stp>LAST_PRICE</stp>
        <stp>[Excel_Add_In_Sample_v3.xlsm]Sheet1!R16C8</stp>
        <tr r="H16" s="1"/>
      </tp>
      <tp>
        <v>47.244999999999997</v>
        <stp/>
        <stp>##V3_BDPV12</stp>
        <stp>VZ US Equity</stp>
        <stp>LAST_PRICE</stp>
        <stp>[Excel_Add_In_Sample_v3.xlsm]Sheet1!R8C8</stp>
        <tr r="H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609600</xdr:colOff>
          <xdr:row>0</xdr:row>
          <xdr:rowOff>38100</xdr:rowOff>
        </xdr:from>
        <xdr:to>
          <xdr:col>11</xdr:col>
          <xdr:colOff>104775</xdr:colOff>
          <xdr:row>3</xdr:row>
          <xdr:rowOff>152400</xdr:rowOff>
        </xdr:to>
        <xdr:sp macro="" textlink="">
          <xdr:nvSpPr>
            <xdr:cNvPr id="1025" name="btnStag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0</xdr:row>
          <xdr:rowOff>57150</xdr:rowOff>
        </xdr:from>
        <xdr:to>
          <xdr:col>13</xdr:col>
          <xdr:colOff>19050</xdr:colOff>
          <xdr:row>2</xdr:row>
          <xdr:rowOff>0</xdr:rowOff>
        </xdr:to>
        <xdr:sp macro="" textlink="">
          <xdr:nvSpPr>
            <xdr:cNvPr id="1026" name="btnClearStageBlott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2</xdr:row>
          <xdr:rowOff>28575</xdr:rowOff>
        </xdr:from>
        <xdr:to>
          <xdr:col>13</xdr:col>
          <xdr:colOff>19050</xdr:colOff>
          <xdr:row>3</xdr:row>
          <xdr:rowOff>142875</xdr:rowOff>
        </xdr:to>
        <xdr:sp macro="" textlink="">
          <xdr:nvSpPr>
            <xdr:cNvPr id="1027" name="btnClearStatu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EMSX_Stage_cf765742" displayName="EMSX_Stage_cf765742" ref="A2:O3" totalsRowShown="0" headerRowCellStyle="EMSXInput" dataCellStyle="EMSXInput">
  <autoFilter ref="A2:O3"/>
  <tableColumns count="15">
    <tableColumn id="27" name="Action Trigger" dataCellStyle="EMSXInput"/>
    <tableColumn id="17" name="Action" dataCellStyle="EMSXInput"/>
    <tableColumn id="28" name="Request Status" dataCellStyle="EMSXOutput"/>
    <tableColumn id="4" name="Sequence Number" dataCellStyle="EMSXInput"/>
    <tableColumn id="5" name="Route Number" dataCellStyle="EMSXInput"/>
    <tableColumn id="19" name="Ticker" dataCellStyle="EMSXInput"/>
    <tableColumn id="20" name="Side" dataCellStyle="EMSXInput"/>
    <tableColumn id="21" name="Order Type" dataCellStyle="EMSXInput"/>
    <tableColumn id="22" name="Amount" dataCellStyle="EMSXInput"/>
    <tableColumn id="23" name="TIF" dataCellStyle="EMSXInput"/>
    <tableColumn id="24" name="Broker" dataCellStyle="EMSXInput"/>
    <tableColumn id="25" name="Handling instruction" dataCellStyle="EMSXInput"/>
    <tableColumn id="13" name="LmtPrc" dataCellStyle="EMSXInput"/>
    <tableColumn id="26" name="GTD Date" dataCellStyle="EMSXInput"/>
    <tableColumn id="15" name="Stop Price" dataCellStyle="EMSXInput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4"/>
  <sheetViews>
    <sheetView tabSelected="1" workbookViewId="0">
      <selection activeCell="K28" sqref="K28"/>
    </sheetView>
  </sheetViews>
  <sheetFormatPr defaultRowHeight="15" x14ac:dyDescent="0.25"/>
  <sheetData>
    <row r="1" spans="1:1" s="16" customFormat="1" x14ac:dyDescent="0.25">
      <c r="A1" s="16" t="s">
        <v>55</v>
      </c>
    </row>
    <row r="2" spans="1:1" s="16" customFormat="1" x14ac:dyDescent="0.25">
      <c r="A2" s="16" t="s">
        <v>56</v>
      </c>
    </row>
    <row r="3" spans="1:1" s="16" customFormat="1" x14ac:dyDescent="0.25">
      <c r="A3" s="16" t="s">
        <v>57</v>
      </c>
    </row>
    <row r="4" spans="1:1" s="16" customFormat="1" x14ac:dyDescent="0.25">
      <c r="A4" s="16" t="s">
        <v>58</v>
      </c>
    </row>
    <row r="5" spans="1:1" s="16" customFormat="1" x14ac:dyDescent="0.25">
      <c r="A5" s="16" t="s">
        <v>59</v>
      </c>
    </row>
    <row r="6" spans="1:1" s="16" customFormat="1" x14ac:dyDescent="0.25">
      <c r="A6" s="16" t="s">
        <v>60</v>
      </c>
    </row>
    <row r="7" spans="1:1" s="16" customFormat="1" x14ac:dyDescent="0.25">
      <c r="A7" s="16" t="s">
        <v>61</v>
      </c>
    </row>
    <row r="8" spans="1:1" s="16" customFormat="1" x14ac:dyDescent="0.25">
      <c r="A8" s="16" t="s">
        <v>62</v>
      </c>
    </row>
    <row r="9" spans="1:1" s="16" customFormat="1" x14ac:dyDescent="0.25">
      <c r="A9" s="16" t="s">
        <v>63</v>
      </c>
    </row>
    <row r="10" spans="1:1" s="16" customFormat="1" x14ac:dyDescent="0.25">
      <c r="A10" s="16" t="s">
        <v>64</v>
      </c>
    </row>
    <row r="11" spans="1:1" s="16" customFormat="1" x14ac:dyDescent="0.25">
      <c r="A11" s="16" t="s">
        <v>56</v>
      </c>
    </row>
    <row r="12" spans="1:1" s="16" customFormat="1" x14ac:dyDescent="0.25">
      <c r="A12" s="16" t="s">
        <v>65</v>
      </c>
    </row>
    <row r="13" spans="1:1" s="16" customFormat="1" x14ac:dyDescent="0.25">
      <c r="A13" s="16" t="s">
        <v>66</v>
      </c>
    </row>
    <row r="14" spans="1:1" s="16" customFormat="1" x14ac:dyDescent="0.25">
      <c r="A14" s="16" t="s">
        <v>67</v>
      </c>
    </row>
    <row r="15" spans="1:1" s="16" customFormat="1" x14ac:dyDescent="0.25">
      <c r="A15" s="16" t="s">
        <v>68</v>
      </c>
    </row>
    <row r="16" spans="1:1" s="16" customFormat="1" x14ac:dyDescent="0.25">
      <c r="A16" s="16" t="s">
        <v>69</v>
      </c>
    </row>
    <row r="17" spans="1:1" s="16" customFormat="1" x14ac:dyDescent="0.25">
      <c r="A17" s="16" t="s">
        <v>70</v>
      </c>
    </row>
    <row r="18" spans="1:1" s="16" customFormat="1" x14ac:dyDescent="0.25">
      <c r="A18" s="16" t="s">
        <v>71</v>
      </c>
    </row>
    <row r="19" spans="1:1" s="16" customFormat="1" x14ac:dyDescent="0.25">
      <c r="A19" s="16" t="s">
        <v>72</v>
      </c>
    </row>
    <row r="20" spans="1:1" s="16" customFormat="1" x14ac:dyDescent="0.25"/>
    <row r="21" spans="1:1" x14ac:dyDescent="0.25">
      <c r="A21" t="s">
        <v>47</v>
      </c>
    </row>
    <row r="23" spans="1:1" s="16" customFormat="1" x14ac:dyDescent="0.25">
      <c r="A23" s="16" t="s">
        <v>51</v>
      </c>
    </row>
    <row r="24" spans="1:1" s="16" customFormat="1" x14ac:dyDescent="0.25"/>
    <row r="25" spans="1:1" x14ac:dyDescent="0.25">
      <c r="A25" t="s">
        <v>52</v>
      </c>
    </row>
    <row r="27" spans="1:1" x14ac:dyDescent="0.25">
      <c r="A27" t="s">
        <v>48</v>
      </c>
    </row>
    <row r="29" spans="1:1" x14ac:dyDescent="0.25">
      <c r="A29" t="s">
        <v>49</v>
      </c>
    </row>
    <row r="31" spans="1:1" x14ac:dyDescent="0.25">
      <c r="A31" t="s">
        <v>50</v>
      </c>
    </row>
    <row r="33" spans="1:1" x14ac:dyDescent="0.25">
      <c r="A33" s="19" t="s">
        <v>53</v>
      </c>
    </row>
    <row r="34" spans="1:1" x14ac:dyDescent="0.25">
      <c r="A34" t="s">
        <v>54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ositions"/>
  <dimension ref="B2:AB22"/>
  <sheetViews>
    <sheetView zoomScale="85" zoomScaleNormal="85" workbookViewId="0">
      <selection activeCell="L22" sqref="L22"/>
    </sheetView>
  </sheetViews>
  <sheetFormatPr defaultRowHeight="15" x14ac:dyDescent="0.25"/>
  <cols>
    <col min="1" max="1" width="2.5703125" customWidth="1"/>
    <col min="2" max="2" width="6.28515625" bestFit="1" customWidth="1"/>
    <col min="3" max="3" width="15.5703125" bestFit="1" customWidth="1"/>
    <col min="4" max="4" width="7.140625" customWidth="1"/>
    <col min="5" max="5" width="10.5703125" bestFit="1" customWidth="1"/>
    <col min="6" max="6" width="11.5703125" bestFit="1" customWidth="1"/>
    <col min="7" max="7" width="12.42578125" bestFit="1" customWidth="1"/>
    <col min="8" max="8" width="13.85546875" customWidth="1"/>
    <col min="9" max="9" width="9.85546875" bestFit="1" customWidth="1"/>
    <col min="10" max="10" width="6.5703125" customWidth="1"/>
    <col min="11" max="11" width="5.5703125" customWidth="1"/>
    <col min="12" max="12" width="10" style="1" customWidth="1"/>
    <col min="13" max="13" width="6.42578125" customWidth="1"/>
    <col min="14" max="14" width="4.85546875" bestFit="1" customWidth="1"/>
    <col min="16" max="16" width="8" customWidth="1"/>
    <col min="17" max="17" width="8.85546875" bestFit="1" customWidth="1"/>
    <col min="18" max="18" width="24.7109375" customWidth="1"/>
    <col min="21" max="21" width="12.28515625" customWidth="1"/>
    <col min="22" max="22" width="9.5703125" customWidth="1"/>
    <col min="25" max="25" width="19.7109375" customWidth="1"/>
    <col min="27" max="28" width="11.28515625" customWidth="1"/>
  </cols>
  <sheetData>
    <row r="2" spans="2:28" x14ac:dyDescent="0.25">
      <c r="N2" s="1" t="s">
        <v>17</v>
      </c>
    </row>
    <row r="3" spans="2:28" s="1" customFormat="1" x14ac:dyDescent="0.25"/>
    <row r="4" spans="2:28" x14ac:dyDescent="0.25">
      <c r="B4" s="1"/>
      <c r="F4" s="1"/>
      <c r="G4" s="1"/>
      <c r="H4" s="1"/>
      <c r="J4" s="1"/>
      <c r="K4" s="1"/>
      <c r="N4" s="1"/>
      <c r="O4" s="1"/>
      <c r="P4" s="1"/>
      <c r="Q4" s="1"/>
      <c r="R4" s="1" t="s">
        <v>17</v>
      </c>
      <c r="S4" s="1"/>
      <c r="T4" s="1"/>
      <c r="U4" s="1"/>
      <c r="V4" s="1"/>
      <c r="W4" s="1"/>
      <c r="X4" s="1"/>
      <c r="Y4" s="1"/>
      <c r="Z4" s="1"/>
      <c r="AA4" s="1"/>
      <c r="AB4" s="1"/>
    </row>
    <row r="5" spans="2:28" x14ac:dyDescent="0.25">
      <c r="B5" s="18" t="s">
        <v>0</v>
      </c>
      <c r="C5" s="18" t="s">
        <v>21</v>
      </c>
      <c r="D5" s="18"/>
      <c r="E5" s="18" t="s">
        <v>1</v>
      </c>
      <c r="F5" s="18" t="s">
        <v>2</v>
      </c>
      <c r="G5" s="18" t="s">
        <v>3</v>
      </c>
      <c r="H5" s="18" t="s">
        <v>4</v>
      </c>
      <c r="I5" s="18" t="s">
        <v>5</v>
      </c>
      <c r="J5" s="18" t="s">
        <v>6</v>
      </c>
      <c r="K5" s="18" t="s">
        <v>7</v>
      </c>
      <c r="L5" s="18" t="s">
        <v>20</v>
      </c>
      <c r="M5" s="18" t="s">
        <v>8</v>
      </c>
      <c r="N5" s="18" t="s">
        <v>9</v>
      </c>
      <c r="O5" s="18" t="s">
        <v>10</v>
      </c>
      <c r="P5" s="18" t="s">
        <v>11</v>
      </c>
      <c r="Q5" s="18" t="s">
        <v>12</v>
      </c>
      <c r="R5" s="18" t="s">
        <v>34</v>
      </c>
    </row>
    <row r="6" spans="2:28" x14ac:dyDescent="0.25">
      <c r="B6" s="3"/>
      <c r="C6" s="2"/>
      <c r="D6" s="2"/>
      <c r="E6" s="2"/>
      <c r="F6" s="4">
        <v>2000000</v>
      </c>
      <c r="G6" s="2"/>
      <c r="H6" s="2"/>
      <c r="I6" s="2"/>
      <c r="J6" s="2"/>
      <c r="K6" s="2"/>
      <c r="L6" s="12"/>
      <c r="M6" s="2"/>
      <c r="N6" s="2"/>
      <c r="O6" s="2"/>
      <c r="P6" s="2"/>
      <c r="Q6" s="2"/>
      <c r="R6" s="2"/>
    </row>
    <row r="7" spans="2:28" x14ac:dyDescent="0.25">
      <c r="B7" s="16" t="s">
        <v>41</v>
      </c>
      <c r="C7" s="16" t="s">
        <v>36</v>
      </c>
      <c r="D7" s="5">
        <v>3.5369999999999999E-2</v>
      </c>
      <c r="E7" s="5">
        <f>D7/$D$17</f>
        <v>9.2465753424657543E-2</v>
      </c>
      <c r="F7" s="6">
        <f>E7*$F$6</f>
        <v>184931.50684931508</v>
      </c>
      <c r="G7" s="1"/>
      <c r="H7" s="16">
        <f>_xll.BDP(C7,"LAST_PRICE")</f>
        <v>127.26009999999999</v>
      </c>
      <c r="I7" s="7">
        <f>ROUNDUP(F7/H7, 0)</f>
        <v>1454</v>
      </c>
      <c r="J7" s="14" t="s">
        <v>13</v>
      </c>
      <c r="K7" s="1" t="s">
        <v>25</v>
      </c>
      <c r="L7" s="13">
        <v>39</v>
      </c>
      <c r="M7" s="1" t="s">
        <v>15</v>
      </c>
      <c r="N7" s="1"/>
      <c r="O7" s="16" t="s">
        <v>35</v>
      </c>
      <c r="P7" s="1"/>
      <c r="Q7" s="1" t="s">
        <v>16</v>
      </c>
      <c r="R7" s="16"/>
    </row>
    <row r="8" spans="2:28" x14ac:dyDescent="0.25">
      <c r="B8" s="16" t="s">
        <v>40</v>
      </c>
      <c r="C8" s="16" t="s">
        <v>37</v>
      </c>
      <c r="D8" s="5">
        <v>8.813E-2</v>
      </c>
      <c r="E8" s="5">
        <f t="shared" ref="E8:E14" si="0">D8/$D$17</f>
        <v>0.23039318205584022</v>
      </c>
      <c r="F8" s="6">
        <f t="shared" ref="F8:F14" si="1">E8*$F$6</f>
        <v>460786.36411168042</v>
      </c>
      <c r="G8" s="1"/>
      <c r="H8" s="16">
        <f>_xll.BDP(C8,"LAST_PRICE")</f>
        <v>47.244999999999997</v>
      </c>
      <c r="I8" s="17">
        <f t="shared" ref="I8:I16" si="2">ROUNDUP(F8/H8, 0)</f>
        <v>9754</v>
      </c>
      <c r="J8" s="15" t="s">
        <v>13</v>
      </c>
      <c r="K8" s="1" t="s">
        <v>14</v>
      </c>
      <c r="L8" s="13"/>
      <c r="M8" s="1" t="s">
        <v>15</v>
      </c>
      <c r="N8" s="1"/>
      <c r="O8" s="16" t="s">
        <v>35</v>
      </c>
      <c r="P8" s="1"/>
      <c r="Q8" s="1" t="s">
        <v>16</v>
      </c>
      <c r="R8" s="16"/>
    </row>
    <row r="9" spans="2:28" x14ac:dyDescent="0.25">
      <c r="B9" s="16" t="s">
        <v>39</v>
      </c>
      <c r="C9" s="16" t="s">
        <v>38</v>
      </c>
      <c r="D9" s="5">
        <v>5.151E-2</v>
      </c>
      <c r="E9" s="5">
        <f t="shared" si="0"/>
        <v>0.13465962564048939</v>
      </c>
      <c r="F9" s="6">
        <f t="shared" si="1"/>
        <v>269319.25128097879</v>
      </c>
      <c r="G9" s="1"/>
      <c r="H9" s="16">
        <f>_xll.BDP(C9,"LAST_PRICE")</f>
        <v>84.9</v>
      </c>
      <c r="I9" s="17">
        <f t="shared" si="2"/>
        <v>3173</v>
      </c>
      <c r="J9" s="15" t="s">
        <v>13</v>
      </c>
      <c r="K9" s="1" t="s">
        <v>14</v>
      </c>
      <c r="L9" s="13"/>
      <c r="M9" s="1" t="s">
        <v>15</v>
      </c>
      <c r="N9" s="1"/>
      <c r="O9" s="16" t="s">
        <v>35</v>
      </c>
      <c r="P9" s="1"/>
      <c r="Q9" s="1" t="s">
        <v>16</v>
      </c>
      <c r="R9" s="16"/>
    </row>
    <row r="10" spans="2:28" x14ac:dyDescent="0.25">
      <c r="B10" s="16" t="s">
        <v>42</v>
      </c>
      <c r="C10" s="16" t="str">
        <f t="shared" ref="C10:C14" si="3">B10&amp;" US EQUITY"</f>
        <v>JNJ US EQUITY</v>
      </c>
      <c r="D10" s="5">
        <v>4.0770000000000001E-2</v>
      </c>
      <c r="E10" s="5">
        <f t="shared" si="0"/>
        <v>0.10658266234445259</v>
      </c>
      <c r="F10" s="6">
        <f t="shared" si="1"/>
        <v>213165.32468890518</v>
      </c>
      <c r="G10" s="1"/>
      <c r="H10" s="16">
        <f>_xll.BDP(C10,"LAST_PRICE")</f>
        <v>98.58</v>
      </c>
      <c r="I10" s="17">
        <f t="shared" si="2"/>
        <v>2163</v>
      </c>
      <c r="J10" s="15" t="s">
        <v>13</v>
      </c>
      <c r="K10" s="1" t="s">
        <v>14</v>
      </c>
      <c r="L10" s="13"/>
      <c r="M10" s="1" t="s">
        <v>15</v>
      </c>
      <c r="N10" s="1"/>
      <c r="O10" s="16" t="s">
        <v>35</v>
      </c>
      <c r="P10" s="1"/>
      <c r="Q10" s="1" t="s">
        <v>16</v>
      </c>
      <c r="R10" s="16"/>
    </row>
    <row r="11" spans="2:28" x14ac:dyDescent="0.25">
      <c r="B11" s="16" t="s">
        <v>43</v>
      </c>
      <c r="C11" s="16" t="str">
        <f t="shared" si="3"/>
        <v>JPM US EQUITY</v>
      </c>
      <c r="D11" s="5">
        <v>3.8269999999999998E-2</v>
      </c>
      <c r="E11" s="5">
        <f t="shared" si="0"/>
        <v>0.10004705636306599</v>
      </c>
      <c r="F11" s="6">
        <f t="shared" si="1"/>
        <v>200094.11272613198</v>
      </c>
      <c r="G11" s="1"/>
      <c r="H11" s="16">
        <f>_xll.BDP(C11,"LAST_PRICE")</f>
        <v>68.34</v>
      </c>
      <c r="I11" s="17">
        <f t="shared" si="2"/>
        <v>2928</v>
      </c>
      <c r="J11" s="15" t="s">
        <v>13</v>
      </c>
      <c r="K11" s="1" t="s">
        <v>14</v>
      </c>
      <c r="L11" s="13"/>
      <c r="M11" s="1" t="s">
        <v>15</v>
      </c>
      <c r="N11" s="1"/>
      <c r="O11" s="16" t="s">
        <v>35</v>
      </c>
      <c r="P11" s="1"/>
      <c r="Q11" s="1" t="s">
        <v>16</v>
      </c>
      <c r="R11" s="16"/>
    </row>
    <row r="12" spans="2:28" x14ac:dyDescent="0.25">
      <c r="B12" s="16" t="s">
        <v>44</v>
      </c>
      <c r="C12" s="16" t="str">
        <f t="shared" si="3"/>
        <v>WMT US EQUITY</v>
      </c>
      <c r="D12" s="5">
        <v>3.9989999999999998E-2</v>
      </c>
      <c r="E12" s="5">
        <f t="shared" si="0"/>
        <v>0.10454355327825997</v>
      </c>
      <c r="F12" s="6">
        <f t="shared" si="1"/>
        <v>209087.10655651992</v>
      </c>
      <c r="G12" s="1"/>
      <c r="H12" s="16">
        <f>_xll.BDP(C12,"LAST_PRICE")</f>
        <v>72.63</v>
      </c>
      <c r="I12" s="17">
        <f t="shared" si="2"/>
        <v>2879</v>
      </c>
      <c r="J12" s="15" t="s">
        <v>13</v>
      </c>
      <c r="K12" s="1" t="s">
        <v>14</v>
      </c>
      <c r="L12" s="13"/>
      <c r="M12" s="1" t="s">
        <v>15</v>
      </c>
      <c r="N12" s="1"/>
      <c r="O12" s="16" t="s">
        <v>35</v>
      </c>
      <c r="P12" s="1"/>
      <c r="Q12" s="1" t="s">
        <v>16</v>
      </c>
      <c r="R12" s="16"/>
    </row>
    <row r="13" spans="2:28" x14ac:dyDescent="0.25">
      <c r="B13" s="16" t="s">
        <v>45</v>
      </c>
      <c r="C13" s="16" t="str">
        <f t="shared" si="3"/>
        <v>KO US EQUITY</v>
      </c>
      <c r="D13" s="5">
        <v>7.3620000000000005E-2</v>
      </c>
      <c r="E13" s="5">
        <f t="shared" si="0"/>
        <v>0.19246052493987245</v>
      </c>
      <c r="F13" s="6">
        <f t="shared" si="1"/>
        <v>384921.04987974488</v>
      </c>
      <c r="G13" s="1"/>
      <c r="H13" s="16">
        <f>_xll.BDP(C13,"LAST_PRICE")</f>
        <v>40.270000000000003</v>
      </c>
      <c r="I13" s="17">
        <f t="shared" si="2"/>
        <v>9559</v>
      </c>
      <c r="J13" s="15" t="s">
        <v>13</v>
      </c>
      <c r="K13" s="1" t="s">
        <v>14</v>
      </c>
      <c r="L13" s="13"/>
      <c r="M13" s="1" t="s">
        <v>15</v>
      </c>
      <c r="N13" s="1"/>
      <c r="O13" s="16" t="s">
        <v>35</v>
      </c>
      <c r="P13" s="1"/>
      <c r="Q13" s="1" t="s">
        <v>16</v>
      </c>
      <c r="R13" s="16"/>
      <c r="S13" s="1"/>
    </row>
    <row r="14" spans="2:28" x14ac:dyDescent="0.25">
      <c r="B14" s="16" t="s">
        <v>46</v>
      </c>
      <c r="C14" s="16" t="str">
        <f t="shared" si="3"/>
        <v>GE US EQUITY</v>
      </c>
      <c r="D14" s="5">
        <v>1.486E-2</v>
      </c>
      <c r="E14" s="5">
        <f t="shared" si="0"/>
        <v>3.8847641953361919E-2</v>
      </c>
      <c r="F14" s="6">
        <f t="shared" si="1"/>
        <v>77695.283906723838</v>
      </c>
      <c r="G14" s="1"/>
      <c r="H14" s="16">
        <f>_xll.BDP(C14,"LAST_PRICE")</f>
        <v>27.350100000000001</v>
      </c>
      <c r="I14" s="17">
        <f t="shared" si="2"/>
        <v>2841</v>
      </c>
      <c r="J14" s="15" t="s">
        <v>13</v>
      </c>
      <c r="K14" s="1" t="s">
        <v>14</v>
      </c>
      <c r="L14" s="13"/>
      <c r="M14" s="1" t="s">
        <v>15</v>
      </c>
      <c r="N14" s="1"/>
      <c r="O14" s="16" t="s">
        <v>35</v>
      </c>
      <c r="P14" s="1"/>
      <c r="Q14" s="1" t="s">
        <v>16</v>
      </c>
      <c r="R14" s="16"/>
    </row>
    <row r="15" spans="2:28" x14ac:dyDescent="0.25">
      <c r="B15" s="1"/>
      <c r="C15" s="1"/>
      <c r="D15" s="1"/>
      <c r="E15" s="1"/>
      <c r="F15" s="1"/>
      <c r="G15" s="1"/>
      <c r="H15" s="16" t="s">
        <v>17</v>
      </c>
      <c r="I15" s="17" t="s">
        <v>17</v>
      </c>
      <c r="J15" s="1"/>
      <c r="K15" s="1"/>
      <c r="L15" s="13"/>
      <c r="M15" s="1"/>
      <c r="N15" s="1"/>
      <c r="O15" s="1" t="s">
        <v>17</v>
      </c>
      <c r="P15" s="1"/>
      <c r="Q15" s="1" t="s">
        <v>17</v>
      </c>
      <c r="R15" s="1"/>
    </row>
    <row r="16" spans="2:28" x14ac:dyDescent="0.25">
      <c r="B16" s="1" t="s">
        <v>18</v>
      </c>
      <c r="C16" s="16" t="str">
        <f>B16&amp;" INDEX"</f>
        <v>ESA INDEX</v>
      </c>
      <c r="D16" s="1"/>
      <c r="E16" s="1"/>
      <c r="F16" s="6">
        <f>G16*F6</f>
        <v>1400000</v>
      </c>
      <c r="G16" s="1">
        <v>0.7</v>
      </c>
      <c r="H16" s="16">
        <f>_xll.BDP(C16,"LAST_PRICE")</f>
        <v>2091.5</v>
      </c>
      <c r="I16" s="17">
        <f t="shared" si="2"/>
        <v>670</v>
      </c>
      <c r="J16" s="8" t="s">
        <v>19</v>
      </c>
      <c r="K16" s="1" t="s">
        <v>14</v>
      </c>
      <c r="L16" s="13"/>
      <c r="M16" s="1" t="s">
        <v>15</v>
      </c>
      <c r="N16" s="1"/>
      <c r="O16" s="16" t="s">
        <v>35</v>
      </c>
      <c r="P16" s="1"/>
      <c r="Q16" s="1" t="s">
        <v>16</v>
      </c>
      <c r="R16" s="16"/>
    </row>
    <row r="17" spans="2:19" x14ac:dyDescent="0.25">
      <c r="B17" s="1"/>
      <c r="C17" s="1"/>
      <c r="D17" s="5">
        <f>SUM(D7:D14)</f>
        <v>0.38251999999999997</v>
      </c>
      <c r="E17" s="1"/>
      <c r="F17" s="1"/>
      <c r="G17" s="1"/>
      <c r="H17" s="16" t="s">
        <v>17</v>
      </c>
      <c r="I17" s="1"/>
      <c r="J17" s="1"/>
      <c r="K17" s="1"/>
      <c r="M17" s="1"/>
      <c r="N17" s="1"/>
      <c r="O17" s="1"/>
      <c r="P17" s="1"/>
      <c r="Q17" s="1"/>
      <c r="R17" s="1"/>
    </row>
    <row r="18" spans="2:19" x14ac:dyDescent="0.25">
      <c r="E18" s="1"/>
      <c r="F18" s="1"/>
      <c r="G18" s="1"/>
      <c r="H18" s="1"/>
      <c r="I18" s="1"/>
      <c r="J18" s="1"/>
      <c r="K18" s="1"/>
      <c r="M18" s="1" t="s">
        <v>17</v>
      </c>
    </row>
    <row r="20" spans="2:19" x14ac:dyDescent="0.25">
      <c r="E20" s="16" t="s">
        <v>17</v>
      </c>
      <c r="F20" s="1"/>
      <c r="G20" s="1"/>
      <c r="H20" s="1"/>
      <c r="I20" s="1"/>
      <c r="J20" s="1" t="s">
        <v>17</v>
      </c>
      <c r="K20" s="1"/>
      <c r="M20" s="1"/>
      <c r="P20" s="1" t="s">
        <v>17</v>
      </c>
    </row>
    <row r="21" spans="2:19" x14ac:dyDescent="0.25">
      <c r="E21" s="1"/>
      <c r="F21" s="1"/>
      <c r="G21" s="1"/>
      <c r="H21" s="1"/>
      <c r="I21" s="1"/>
      <c r="J21" s="1" t="s">
        <v>17</v>
      </c>
      <c r="K21" s="1"/>
      <c r="M21" s="1"/>
      <c r="S21" s="1" t="s">
        <v>17</v>
      </c>
    </row>
    <row r="22" spans="2:19" x14ac:dyDescent="0.25">
      <c r="C22" s="16" t="s">
        <v>17</v>
      </c>
      <c r="E22" s="1"/>
      <c r="F22" s="1"/>
      <c r="G22" s="1"/>
      <c r="H22" s="1"/>
      <c r="I22" s="1"/>
      <c r="J22" s="1" t="s">
        <v>17</v>
      </c>
      <c r="K22" s="1"/>
      <c r="M22" s="1"/>
    </row>
  </sheetData>
  <pageMargins left="0.7" right="0.7" top="0.75" bottom="0.75" header="0.3" footer="0.3"/>
  <pageSetup orientation="portrait" r:id="rId1"/>
  <customProperties>
    <customPr name="Aqumin_Sheet_Guid" r:id="rId2"/>
  </customProperties>
  <drawing r:id="rId3"/>
  <legacyDrawing r:id="rId4"/>
  <controls>
    <mc:AlternateContent xmlns:mc="http://schemas.openxmlformats.org/markup-compatibility/2006">
      <mc:Choice Requires="x14">
        <control shapeId="1027" r:id="rId5" name="btnClearStatus">
          <controlPr defaultSize="0" autoLine="0" r:id="rId6">
            <anchor moveWithCells="1">
              <from>
                <xdr:col>11</xdr:col>
                <xdr:colOff>133350</xdr:colOff>
                <xdr:row>2</xdr:row>
                <xdr:rowOff>28575</xdr:rowOff>
              </from>
              <to>
                <xdr:col>13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027" r:id="rId5" name="btnClearStatus"/>
      </mc:Fallback>
    </mc:AlternateContent>
    <mc:AlternateContent xmlns:mc="http://schemas.openxmlformats.org/markup-compatibility/2006">
      <mc:Choice Requires="x14">
        <control shapeId="1026" r:id="rId7" name="btnClearStageBlotter">
          <controlPr defaultSize="0" autoLine="0" r:id="rId8">
            <anchor moveWithCells="1">
              <from>
                <xdr:col>11</xdr:col>
                <xdr:colOff>133350</xdr:colOff>
                <xdr:row>0</xdr:row>
                <xdr:rowOff>57150</xdr:rowOff>
              </from>
              <to>
                <xdr:col>13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1026" r:id="rId7" name="btnClearStageBlotter"/>
      </mc:Fallback>
    </mc:AlternateContent>
    <mc:AlternateContent xmlns:mc="http://schemas.openxmlformats.org/markup-compatibility/2006">
      <mc:Choice Requires="x14">
        <control shapeId="1025" r:id="rId9" name="btnStage">
          <controlPr defaultSize="0" autoLine="0" r:id="rId10">
            <anchor moveWithCells="1">
              <from>
                <xdr:col>8</xdr:col>
                <xdr:colOff>609600</xdr:colOff>
                <xdr:row>0</xdr:row>
                <xdr:rowOff>38100</xdr:rowOff>
              </from>
              <to>
                <xdr:col>11</xdr:col>
                <xdr:colOff>104775</xdr:colOff>
                <xdr:row>3</xdr:row>
                <xdr:rowOff>152400</xdr:rowOff>
              </to>
            </anchor>
          </controlPr>
        </control>
      </mc:Choice>
      <mc:Fallback>
        <control shapeId="1025" r:id="rId9" name="btnStag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O3"/>
  <sheetViews>
    <sheetView zoomScale="85" zoomScaleNormal="85" workbookViewId="0">
      <selection activeCell="A2" sqref="A2"/>
    </sheetView>
  </sheetViews>
  <sheetFormatPr defaultRowHeight="15" x14ac:dyDescent="0.25"/>
  <cols>
    <col min="1" max="1" width="14" customWidth="1"/>
    <col min="2" max="2" width="8.42578125" customWidth="1"/>
    <col min="3" max="3" width="84.140625" customWidth="1"/>
    <col min="4" max="4" width="18.42578125" customWidth="1"/>
    <col min="5" max="5" width="15.42578125" customWidth="1"/>
    <col min="15" max="15" width="11.85546875" customWidth="1"/>
  </cols>
  <sheetData>
    <row r="2" spans="1:15" x14ac:dyDescent="0.25">
      <c r="A2" s="9" t="s">
        <v>27</v>
      </c>
      <c r="B2" s="9" t="s">
        <v>28</v>
      </c>
      <c r="C2" s="10" t="s">
        <v>29</v>
      </c>
      <c r="D2" s="9" t="s">
        <v>22</v>
      </c>
      <c r="E2" s="9" t="s">
        <v>23</v>
      </c>
      <c r="F2" s="9" t="s">
        <v>0</v>
      </c>
      <c r="G2" s="9" t="s">
        <v>6</v>
      </c>
      <c r="H2" s="9" t="s">
        <v>30</v>
      </c>
      <c r="I2" s="9" t="s">
        <v>31</v>
      </c>
      <c r="J2" s="9" t="s">
        <v>8</v>
      </c>
      <c r="K2" s="9" t="s">
        <v>10</v>
      </c>
      <c r="L2" s="9" t="s">
        <v>32</v>
      </c>
      <c r="M2" s="9" t="s">
        <v>26</v>
      </c>
      <c r="N2" s="11" t="s">
        <v>33</v>
      </c>
      <c r="O2" s="9" t="s">
        <v>24</v>
      </c>
    </row>
    <row r="3" spans="1:15" s="1" customFormat="1" x14ac:dyDescent="0.25">
      <c r="A3" s="9"/>
      <c r="B3" s="9"/>
      <c r="C3" s="10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</row>
  </sheetData>
  <pageMargins left="0.7" right="0.7" top="0.75" bottom="0.75" header="0.3" footer="0.3"/>
  <customProperties>
    <customPr name="Aqumin_Sheet_Guid" r:id="rId1"/>
  </customPropertie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Help</vt:lpstr>
      <vt:lpstr>Sheet1</vt:lpstr>
      <vt:lpstr>Staging Blotter</vt:lpstr>
      <vt:lpstr>EMSX_STAGE_INSERTROW</vt:lpstr>
      <vt:lpstr>StatusStart</vt:lpstr>
      <vt:lpstr>TickerStart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Terrence C. Kim</dc:creator>
  <cp:lastModifiedBy>tkim94</cp:lastModifiedBy>
  <dcterms:created xsi:type="dcterms:W3CDTF">2012-03-29T17:56:43Z</dcterms:created>
  <dcterms:modified xsi:type="dcterms:W3CDTF">2015-06-17T15:19:46Z</dcterms:modified>
</cp:coreProperties>
</file>