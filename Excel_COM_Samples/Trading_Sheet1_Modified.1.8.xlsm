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435" windowWidth="18195" windowHeight="8970"/>
  </bookViews>
  <sheets>
    <sheet name="Main" sheetId="1" r:id="rId1"/>
  </sheets>
  <functionGroups builtInGroupCount="17"/>
  <definedNames>
    <definedName name="_xlnm._FilterDatabase" localSheetId="0" hidden="1">Main!$B$26:$L$26</definedName>
    <definedName name="Account">Main!$G$11</definedName>
    <definedName name="Account1">Main!$J$15</definedName>
    <definedName name="Account2">Main!$J$16</definedName>
    <definedName name="Account3">Main!$J$17</definedName>
    <definedName name="Account4">Main!$J$18</definedName>
    <definedName name="Account5">Main!$J$19</definedName>
    <definedName name="ask_1">Main!$E$15</definedName>
    <definedName name="ask_2">Main!$E$16</definedName>
    <definedName name="ask_3">Main!$E$17</definedName>
    <definedName name="ask_4">Main!$E$18</definedName>
    <definedName name="ask_5">Main!$E$19</definedName>
    <definedName name="bid_1">Main!$D$15</definedName>
    <definedName name="bid_2">Main!$D$16</definedName>
    <definedName name="bid_3">Main!$D$17</definedName>
    <definedName name="bid_4">Main!$D$18</definedName>
    <definedName name="bid_5">Main!$D$19</definedName>
    <definedName name="BlotterAnchor">Main!$B$27</definedName>
    <definedName name="BrokerName">Main!$C$11</definedName>
    <definedName name="BrokerName1">Main!$H$15</definedName>
    <definedName name="BrokerName2">Main!$H$16</definedName>
    <definedName name="BrokerName3">Main!$H$17</definedName>
    <definedName name="BrokerName4">Main!$H$18</definedName>
    <definedName name="BrokerName5">Main!$H$19</definedName>
    <definedName name="Environment">Main!$E$6</definedName>
    <definedName name="HandInst">Main!$I$11</definedName>
    <definedName name="HandInst1">Main!$L$15</definedName>
    <definedName name="HandInst2">Main!$L$16</definedName>
    <definedName name="HandInst3">Main!$L$17</definedName>
    <definedName name="HandInst4">Main!$L$18</definedName>
    <definedName name="HandInst5">Main!$L$19</definedName>
    <definedName name="Limit_Price">Main!$F$11</definedName>
    <definedName name="OrderTIF">Main!$H$11</definedName>
    <definedName name="OrderType">Main!$E$11</definedName>
    <definedName name="PROD_BETA">Main!$D$6</definedName>
    <definedName name="Quantity">Main!$D$11</definedName>
    <definedName name="Quantity1">Main!$I$15</definedName>
    <definedName name="Quantity2">Main!$I$16</definedName>
    <definedName name="Quantity3">Main!$I$17</definedName>
    <definedName name="Quantity4">Main!$I$18</definedName>
    <definedName name="Quantity5">Main!$I$19</definedName>
    <definedName name="Security">Main!$B$11</definedName>
    <definedName name="SelectedAmount">Main!$E$23</definedName>
    <definedName name="SelectedOrderType">Main!$F$23</definedName>
    <definedName name="SelectedPrice">Main!$G$23</definedName>
    <definedName name="SelectedRouteID">Main!$C$23</definedName>
    <definedName name="SelectedSequence">Main!$B$23</definedName>
    <definedName name="SelectedSide">Main!#REF!</definedName>
    <definedName name="SelectedTicker">Main!$D$23</definedName>
    <definedName name="SelectedTIF">Main!$H$23</definedName>
    <definedName name="Status">Main!$D$7</definedName>
    <definedName name="TIF_1">Main!$K$15</definedName>
    <definedName name="TIF_2">Main!$K$16</definedName>
    <definedName name="TIF_3">Main!$K$17</definedName>
    <definedName name="TIF_4">Main!$K$18</definedName>
    <definedName name="TIF_5">Main!$K$19</definedName>
  </definedNames>
  <calcPr calcId="145621"/>
</workbook>
</file>

<file path=xl/calcChain.xml><?xml version="1.0" encoding="utf-8"?>
<calcChain xmlns="http://schemas.openxmlformats.org/spreadsheetml/2006/main">
  <c r="E6" i="1" l="1"/>
  <c r="F17" i="1"/>
  <c r="C16" i="1"/>
  <c r="F19" i="1"/>
  <c r="F18" i="1"/>
  <c r="D15" i="1"/>
  <c r="E16" i="1"/>
  <c r="E18" i="1"/>
  <c r="C17" i="1"/>
  <c r="D19" i="1"/>
  <c r="F15" i="1"/>
  <c r="C19" i="1"/>
  <c r="F16" i="1"/>
  <c r="D17" i="1"/>
  <c r="C15" i="1"/>
  <c r="C18" i="1"/>
  <c r="E15" i="1"/>
  <c r="E19" i="1"/>
  <c r="E17" i="1"/>
  <c r="D18" i="1"/>
  <c r="D16" i="1"/>
  <c r="G15" i="1" l="1"/>
  <c r="G16" i="1" s="1"/>
  <c r="G17" i="1" s="1"/>
  <c r="G18" i="1" s="1"/>
  <c r="G19" i="1" s="1"/>
  <c r="B15" i="1"/>
  <c r="B16" i="1" s="1"/>
  <c r="B17" i="1" s="1"/>
  <c r="B18" i="1" s="1"/>
  <c r="B19" i="1" s="1"/>
</calcChain>
</file>

<file path=xl/comments1.xml><?xml version="1.0" encoding="utf-8"?>
<comments xmlns="http://schemas.openxmlformats.org/spreadsheetml/2006/main">
  <authors>
    <author>pcsu</author>
  </authors>
  <commentList>
    <comment ref="E6" authorId="0">
      <text>
        <r>
          <rPr>
            <b/>
            <sz val="9"/>
            <color indexed="81"/>
            <rFont val="Tahoma"/>
            <family val="2"/>
          </rPr>
          <t>Bloomberg:</t>
        </r>
        <r>
          <rPr>
            <sz val="9"/>
            <color indexed="81"/>
            <rFont val="Tahoma"/>
            <family val="2"/>
          </rPr>
          <t xml:space="preserve">
Please do not modify. </t>
        </r>
      </text>
    </comment>
  </commentList>
</comments>
</file>

<file path=xl/sharedStrings.xml><?xml version="1.0" encoding="utf-8"?>
<sst xmlns="http://schemas.openxmlformats.org/spreadsheetml/2006/main" count="129" uniqueCount="51">
  <si>
    <t>Ticker</t>
  </si>
  <si>
    <t>Side</t>
  </si>
  <si>
    <t>Quantity</t>
  </si>
  <si>
    <t>Limit Price</t>
  </si>
  <si>
    <t>Order Type</t>
  </si>
  <si>
    <t>Broker</t>
  </si>
  <si>
    <t>HandInst</t>
  </si>
  <si>
    <t>Bid</t>
  </si>
  <si>
    <t>Bid Size</t>
  </si>
  <si>
    <t>Bid Total</t>
  </si>
  <si>
    <t>Ask</t>
  </si>
  <si>
    <t>Ask Size</t>
  </si>
  <si>
    <t>Ask Total</t>
  </si>
  <si>
    <t>Route ID</t>
  </si>
  <si>
    <t>Amount</t>
  </si>
  <si>
    <t>Status</t>
  </si>
  <si>
    <t>Average Price</t>
  </si>
  <si>
    <t>Filled</t>
  </si>
  <si>
    <t>Working</t>
  </si>
  <si>
    <t>Route Blotter</t>
  </si>
  <si>
    <t>First order entry point.</t>
  </si>
  <si>
    <t xml:space="preserve">Second order entry point. Order Type default to LMT. Clicking "Buy", "Sell" routes at the price (LMT price) level in the market dept. </t>
  </si>
  <si>
    <t>TIF</t>
  </si>
  <si>
    <t>PROD</t>
  </si>
  <si>
    <t>Account</t>
  </si>
  <si>
    <t>DAY</t>
  </si>
  <si>
    <t>ANY</t>
  </si>
  <si>
    <t>Modification order entry point</t>
  </si>
  <si>
    <t>Cancel outstanding order(s)</t>
  </si>
  <si>
    <t>Order Num</t>
  </si>
  <si>
    <t>Environment</t>
  </si>
  <si>
    <t>LMT</t>
  </si>
  <si>
    <t>XOM US Equity</t>
  </si>
  <si>
    <t>SELL</t>
  </si>
  <si>
    <t>BUY</t>
  </si>
  <si>
    <t>GE US Equity</t>
  </si>
  <si>
    <t>MKT</t>
  </si>
  <si>
    <t>CLU5 Comdty</t>
  </si>
  <si>
    <t>TSLA US Equity</t>
  </si>
  <si>
    <t>WMT US Equity</t>
  </si>
  <si>
    <t>VZ US Equity</t>
  </si>
  <si>
    <t>JNJ US Equity</t>
  </si>
  <si>
    <t>AAPL US Equity</t>
  </si>
  <si>
    <t>JPM US Equity</t>
  </si>
  <si>
    <t>KO US Equity</t>
  </si>
  <si>
    <t>FILLED</t>
  </si>
  <si>
    <t>WORKING</t>
  </si>
  <si>
    <t>REJECTED</t>
  </si>
  <si>
    <t>CANCEL</t>
  </si>
  <si>
    <t>PARTFILL</t>
  </si>
  <si>
    <t>BB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</si>
</sst>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43" formatCode="_(* #,##0.00_);_(* \(#,##0.00\);_(* &quot;-&quot;??_);_(@_)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i/>
      <sz val="11"/>
      <color rgb="FFFFFFFF"/>
      <name val="Calibri"/>
      <family val="2"/>
      <scheme val="minor"/>
    </font>
    <font>
      <sz val="11"/>
      <color rgb="FFFFFFFF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C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gradientFill>
        <stop position="0">
          <color rgb="FFFCD5B4"/>
        </stop>
        <stop position="0.5">
          <color rgb="FFFDE9D9"/>
        </stop>
        <stop position="1">
          <color rgb="FFFCD5B4"/>
        </stop>
      </gradientFill>
    </fill>
    <fill>
      <gradientFill>
        <stop position="0">
          <color rgb="FFE26B0A"/>
        </stop>
        <stop position="0.5">
          <color rgb="FFFABF8F"/>
        </stop>
        <stop position="1">
          <color rgb="FFE26B0A"/>
        </stop>
      </gradientFill>
    </fill>
  </fills>
  <borders count="11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5">
    <xf numFmtId="0" fontId="0" fillId="0" borderId="0"/>
    <xf numFmtId="43" fontId="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1" fillId="2" borderId="1"/>
    <xf numFmtId="0" fontId="1" fillId="3" borderId="1"/>
    <xf numFmtId="0" fontId="1" fillId="4" borderId="1"/>
    <xf numFmtId="0" fontId="1" fillId="6" borderId="1"/>
    <xf numFmtId="0" fontId="1" fillId="5" borderId="1"/>
    <xf numFmtId="0" fontId="5" fillId="0" borderId="0"/>
    <xf numFmtId="0" fontId="4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53">
    <xf numFmtId="0" fontId="0" fillId="0" borderId="0" xfId="0"/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0" applyFont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4" fontId="6" fillId="0" borderId="0" xfId="0" applyNumberFormat="1" applyFont="1" applyFill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/>
    </xf>
    <xf numFmtId="0" fontId="2" fillId="7" borderId="0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vertical="center"/>
    </xf>
    <xf numFmtId="0" fontId="7" fillId="10" borderId="3" xfId="0" applyFont="1" applyFill="1" applyBorder="1" applyAlignment="1">
      <alignment vertical="center"/>
    </xf>
    <xf numFmtId="0" fontId="7" fillId="10" borderId="4" xfId="0" applyFont="1" applyFill="1" applyBorder="1" applyAlignment="1">
      <alignment vertical="center"/>
    </xf>
    <xf numFmtId="0" fontId="0" fillId="0" borderId="9" xfId="0" applyBorder="1" applyAlignment="1">
      <alignment horizontal="center" vertical="center"/>
    </xf>
    <xf numFmtId="0" fontId="3" fillId="11" borderId="0" xfId="0" applyFont="1" applyFill="1" applyBorder="1" applyAlignment="1">
      <alignment horizontal="center" vertical="center"/>
    </xf>
    <xf numFmtId="0" fontId="3" fillId="11" borderId="6" xfId="0" applyFont="1" applyFill="1" applyBorder="1" applyAlignment="1">
      <alignment horizontal="center" vertical="center"/>
    </xf>
    <xf numFmtId="0" fontId="3" fillId="11" borderId="8" xfId="0" applyFont="1" applyFill="1" applyBorder="1" applyAlignment="1">
      <alignment horizontal="center" vertical="center"/>
    </xf>
    <xf numFmtId="0" fontId="3" fillId="11" borderId="9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vertical="center"/>
    </xf>
    <xf numFmtId="0" fontId="2" fillId="9" borderId="3" xfId="0" applyFont="1" applyFill="1" applyBorder="1" applyAlignment="1">
      <alignment vertical="center"/>
    </xf>
    <xf numFmtId="0" fontId="2" fillId="9" borderId="4" xfId="0" applyFont="1" applyFill="1" applyBorder="1" applyAlignment="1">
      <alignment vertical="center"/>
    </xf>
    <xf numFmtId="0" fontId="8" fillId="10" borderId="0" xfId="0" applyFont="1" applyFill="1" applyBorder="1" applyAlignment="1">
      <alignment horizontal="center" vertical="center"/>
    </xf>
    <xf numFmtId="0" fontId="8" fillId="10" borderId="5" xfId="0" applyFont="1" applyFill="1" applyBorder="1" applyAlignment="1">
      <alignment horizontal="center" vertical="center"/>
    </xf>
    <xf numFmtId="0" fontId="8" fillId="10" borderId="6" xfId="0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9" fillId="0" borderId="0" xfId="0" applyFont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12" fillId="13" borderId="10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12" borderId="10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7" fillId="10" borderId="2" xfId="0" applyFont="1" applyFill="1" applyBorder="1" applyAlignment="1">
      <alignment horizontal="left" vertical="center" wrapText="1"/>
    </xf>
    <xf numFmtId="0" fontId="7" fillId="10" borderId="3" xfId="0" applyFont="1" applyFill="1" applyBorder="1" applyAlignment="1">
      <alignment horizontal="left" vertical="center" wrapText="1"/>
    </xf>
    <xf numFmtId="0" fontId="7" fillId="10" borderId="4" xfId="0" applyFont="1" applyFill="1" applyBorder="1" applyAlignment="1">
      <alignment horizontal="left" vertical="center" wrapText="1"/>
    </xf>
  </cellXfs>
  <cellStyles count="15">
    <cellStyle name="Comma 2" xfId="2"/>
    <cellStyle name="Comma 3" xfId="3"/>
    <cellStyle name="Comma 4" xfId="1"/>
    <cellStyle name="Currency 2" xfId="4"/>
    <cellStyle name="EMSXHiLite" xfId="5"/>
    <cellStyle name="EMSXInput" xfId="6"/>
    <cellStyle name="EMSXInsert" xfId="7"/>
    <cellStyle name="EMSXNormal" xfId="8"/>
    <cellStyle name="EMSXOutput" xfId="9"/>
    <cellStyle name="Normal" xfId="0" builtinId="0"/>
    <cellStyle name="Normal 2" xfId="10"/>
    <cellStyle name="Normal 3" xfId="11"/>
    <cellStyle name="Percent 2" xfId="12"/>
    <cellStyle name="Percent 3" xfId="13"/>
    <cellStyle name="Percent 4" xfId="14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1</v>
        <stp/>
        <stp>##V3_BDPV12</stp>
        <stp>XOM US Equity</stp>
        <stp>BEST_ASK4_SZ</stp>
        <stp>[Trading_Sheet1_Modified.1.8.xlsm]Main!R18C6</stp>
        <tr r="F18" s="1"/>
        <tr r="F18" s="1"/>
      </tp>
      <tp>
        <v>1</v>
        <stp/>
        <stp>##V3_BDPV12</stp>
        <stp>XOM US Equity</stp>
        <stp>BEST_ASK5_SZ</stp>
        <stp>[Trading_Sheet1_Modified.1.8.xlsm]Main!R19C6</stp>
        <tr r="F19" s="1"/>
        <tr r="F19" s="1"/>
      </tp>
      <tp>
        <v>1</v>
        <stp/>
        <stp>##V3_BDPV12</stp>
        <stp>XOM US Equity</stp>
        <stp>BEST_ASK2_SZ</stp>
        <stp>[Trading_Sheet1_Modified.1.8.xlsm]Main!R16C6</stp>
        <tr r="F16" s="1"/>
        <tr r="F16" s="1"/>
      </tp>
      <tp>
        <v>2</v>
        <stp/>
        <stp>##V3_BDPV12</stp>
        <stp>XOM US Equity</stp>
        <stp>BEST_ASK3_SZ</stp>
        <stp>[Trading_Sheet1_Modified.1.8.xlsm]Main!R17C6</stp>
        <tr r="F17" s="1"/>
        <tr r="F17" s="1"/>
      </tp>
      <tp>
        <v>52</v>
        <stp/>
        <stp>##V3_BDPV12</stp>
        <stp>XOM US Equity</stp>
        <stp>BEST_ASK1_SZ</stp>
        <stp>[Trading_Sheet1_Modified.1.8.xlsm]Main!R15C6</stp>
        <tr r="F15" s="1"/>
        <tr r="F15" s="1"/>
      </tp>
      <tp>
        <v>1</v>
        <stp/>
        <stp>##V3_BDPV12</stp>
        <stp>XOM US Equity</stp>
        <stp>BEST_BID1_SZ</stp>
        <stp>[Trading_Sheet1_Modified.1.8.xlsm]Main!R15C3</stp>
        <tr r="C15" s="1"/>
        <tr r="C15" s="1"/>
      </tp>
      <tp>
        <v>1</v>
        <stp/>
        <stp>##V3_BDPV12</stp>
        <stp>XOM US Equity</stp>
        <stp>BEST_BID2_SZ</stp>
        <stp>[Trading_Sheet1_Modified.1.8.xlsm]Main!R16C3</stp>
        <tr r="C16" s="1"/>
        <tr r="C16" s="1"/>
      </tp>
      <tp>
        <v>4</v>
        <stp/>
        <stp>##V3_BDPV12</stp>
        <stp>XOM US Equity</stp>
        <stp>BEST_BID3_SZ</stp>
        <stp>[Trading_Sheet1_Modified.1.8.xlsm]Main!R17C3</stp>
        <tr r="C17" s="1"/>
        <tr r="C17" s="1"/>
      </tp>
      <tp>
        <v>7</v>
        <stp/>
        <stp>##V3_BDPV12</stp>
        <stp>XOM US Equity</stp>
        <stp>BEST_BID4_SZ</stp>
        <stp>[Trading_Sheet1_Modified.1.8.xlsm]Main!R18C3</stp>
        <tr r="C18" s="1"/>
        <tr r="C18" s="1"/>
      </tp>
      <tp>
        <v>7</v>
        <stp/>
        <stp>##V3_BDPV12</stp>
        <stp>XOM US Equity</stp>
        <stp>BEST_BID5_SZ</stp>
        <stp>[Trading_Sheet1_Modified.1.8.xlsm]Main!R19C3</stp>
        <tr r="C19" s="1"/>
        <tr r="C19" s="1"/>
      </tp>
      <tp>
        <v>75</v>
        <stp/>
        <stp>##V3_BDPV12</stp>
        <stp>XOM US Equity</stp>
        <stp>BEST_ASK1</stp>
        <stp>[Trading_Sheet1_Modified.1.8.xlsm]Main!R15C5</stp>
        <tr r="E15" s="1"/>
        <tr r="E15" s="1"/>
      </tp>
      <tp>
        <v>80.7</v>
        <stp/>
        <stp>##V3_BDPV12</stp>
        <stp>XOM US Equity</stp>
        <stp>BEST_ASK3</stp>
        <stp>[Trading_Sheet1_Modified.1.8.xlsm]Main!R17C5</stp>
        <tr r="E17" s="1"/>
        <tr r="E17" s="1"/>
      </tp>
      <tp>
        <v>85.71</v>
        <stp/>
        <stp>##V3_BDPV12</stp>
        <stp>XOM US Equity</stp>
        <stp>BEST_BID4</stp>
        <stp>[Trading_Sheet1_Modified.1.8.xlsm]Main!R18C4</stp>
        <tr r="D18" s="1"/>
        <tr r="D18" s="1"/>
      </tp>
      <tp>
        <v>80</v>
        <stp/>
        <stp>##V3_BDPV12</stp>
        <stp>XOM US Equity</stp>
        <stp>BEST_ASK2</stp>
        <stp>[Trading_Sheet1_Modified.1.8.xlsm]Main!R16C5</stp>
        <tr r="E16" s="1"/>
        <tr r="E16" s="1"/>
      </tp>
      <tp>
        <v>85.68</v>
        <stp/>
        <stp>##V3_BDPV12</stp>
        <stp>XOM US Equity</stp>
        <stp>BEST_BID5</stp>
        <stp>[Trading_Sheet1_Modified.1.8.xlsm]Main!R19C4</stp>
        <tr r="D19" s="1"/>
        <tr r="D19" s="1"/>
      </tp>
      <tp>
        <v>90.44</v>
        <stp/>
        <stp>##V3_BDPV12</stp>
        <stp>XOM US Equity</stp>
        <stp>BEST_BID2</stp>
        <stp>[Trading_Sheet1_Modified.1.8.xlsm]Main!R16C4</stp>
        <tr r="D16" s="1"/>
        <tr r="D16" s="1"/>
      </tp>
      <tp>
        <v>82</v>
        <stp/>
        <stp>##V3_BDPV12</stp>
        <stp>XOM US Equity</stp>
        <stp>BEST_ASK5</stp>
        <stp>[Trading_Sheet1_Modified.1.8.xlsm]Main!R19C5</stp>
        <tr r="E19" s="1"/>
        <tr r="E19" s="1"/>
      </tp>
      <tp>
        <v>86</v>
        <stp/>
        <stp>##V3_BDPV12</stp>
        <stp>XOM US Equity</stp>
        <stp>BEST_BID3</stp>
        <stp>[Trading_Sheet1_Modified.1.8.xlsm]Main!R17C4</stp>
        <tr r="D17" s="1"/>
        <tr r="D17" s="1"/>
      </tp>
      <tp>
        <v>80.73</v>
        <stp/>
        <stp>##V3_BDPV12</stp>
        <stp>XOM US Equity</stp>
        <stp>BEST_ASK4</stp>
        <stp>[Trading_Sheet1_Modified.1.8.xlsm]Main!R18C5</stp>
        <tr r="E18" s="1"/>
        <tr r="E18" s="1"/>
      </tp>
      <tp>
        <v>90.45</v>
        <stp/>
        <stp>##V3_BDPV12</stp>
        <stp>XOM US Equity</stp>
        <stp>BEST_BID1</stp>
        <stp>[Trading_Sheet1_Modified.1.8.xlsm]Main!R15C4</stp>
        <tr r="D15" s="1"/>
        <tr r="D15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jpeg"/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3.emf"/><Relationship Id="rId16" Type="http://schemas.openxmlformats.org/officeDocument/2006/relationships/image" Target="../media/image16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4" Type="http://schemas.openxmlformats.org/officeDocument/2006/relationships/image" Target="../media/image1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4</xdr:row>
          <xdr:rowOff>28575</xdr:rowOff>
        </xdr:from>
        <xdr:to>
          <xdr:col>1</xdr:col>
          <xdr:colOff>904875</xdr:colOff>
          <xdr:row>7</xdr:row>
          <xdr:rowOff>9525</xdr:rowOff>
        </xdr:to>
        <xdr:sp macro="" textlink="">
          <xdr:nvSpPr>
            <xdr:cNvPr id="1044" name="Start_Stop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9</xdr:row>
          <xdr:rowOff>38100</xdr:rowOff>
        </xdr:from>
        <xdr:to>
          <xdr:col>9</xdr:col>
          <xdr:colOff>990600</xdr:colOff>
          <xdr:row>10</xdr:row>
          <xdr:rowOff>152400</xdr:rowOff>
        </xdr:to>
        <xdr:sp macro="" textlink="">
          <xdr:nvSpPr>
            <xdr:cNvPr id="1049" name="FirstEntryBuy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1009650</xdr:colOff>
          <xdr:row>9</xdr:row>
          <xdr:rowOff>38100</xdr:rowOff>
        </xdr:from>
        <xdr:to>
          <xdr:col>10</xdr:col>
          <xdr:colOff>885825</xdr:colOff>
          <xdr:row>10</xdr:row>
          <xdr:rowOff>152400</xdr:rowOff>
        </xdr:to>
        <xdr:sp macro="" textlink="">
          <xdr:nvSpPr>
            <xdr:cNvPr id="1050" name="FirstEntrySell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21</xdr:row>
          <xdr:rowOff>47625</xdr:rowOff>
        </xdr:from>
        <xdr:to>
          <xdr:col>11</xdr:col>
          <xdr:colOff>762000</xdr:colOff>
          <xdr:row>22</xdr:row>
          <xdr:rowOff>190500</xdr:rowOff>
        </xdr:to>
        <xdr:sp macro="" textlink="">
          <xdr:nvSpPr>
            <xdr:cNvPr id="1056" name="CancelAll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13</xdr:row>
          <xdr:rowOff>152400</xdr:rowOff>
        </xdr:from>
        <xdr:to>
          <xdr:col>12</xdr:col>
          <xdr:colOff>781050</xdr:colOff>
          <xdr:row>14</xdr:row>
          <xdr:rowOff>171450</xdr:rowOff>
        </xdr:to>
        <xdr:sp macro="" textlink="">
          <xdr:nvSpPr>
            <xdr:cNvPr id="1057" name="BuyButton1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14</xdr:row>
          <xdr:rowOff>161925</xdr:rowOff>
        </xdr:from>
        <xdr:to>
          <xdr:col>12</xdr:col>
          <xdr:colOff>781050</xdr:colOff>
          <xdr:row>15</xdr:row>
          <xdr:rowOff>180975</xdr:rowOff>
        </xdr:to>
        <xdr:sp macro="" textlink="">
          <xdr:nvSpPr>
            <xdr:cNvPr id="1063" name="BuyButton2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15</xdr:row>
          <xdr:rowOff>171450</xdr:rowOff>
        </xdr:from>
        <xdr:to>
          <xdr:col>12</xdr:col>
          <xdr:colOff>781050</xdr:colOff>
          <xdr:row>17</xdr:row>
          <xdr:rowOff>0</xdr:rowOff>
        </xdr:to>
        <xdr:sp macro="" textlink="">
          <xdr:nvSpPr>
            <xdr:cNvPr id="1064" name="BuyButton3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16</xdr:row>
          <xdr:rowOff>171450</xdr:rowOff>
        </xdr:from>
        <xdr:to>
          <xdr:col>12</xdr:col>
          <xdr:colOff>781050</xdr:colOff>
          <xdr:row>18</xdr:row>
          <xdr:rowOff>0</xdr:rowOff>
        </xdr:to>
        <xdr:sp macro="" textlink="">
          <xdr:nvSpPr>
            <xdr:cNvPr id="1065" name="BuyButton4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17</xdr:row>
          <xdr:rowOff>180975</xdr:rowOff>
        </xdr:from>
        <xdr:to>
          <xdr:col>12</xdr:col>
          <xdr:colOff>781050</xdr:colOff>
          <xdr:row>19</xdr:row>
          <xdr:rowOff>0</xdr:rowOff>
        </xdr:to>
        <xdr:sp macro="" textlink="">
          <xdr:nvSpPr>
            <xdr:cNvPr id="1066" name="BuyButton5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13</xdr:row>
          <xdr:rowOff>152400</xdr:rowOff>
        </xdr:from>
        <xdr:to>
          <xdr:col>13</xdr:col>
          <xdr:colOff>771525</xdr:colOff>
          <xdr:row>14</xdr:row>
          <xdr:rowOff>171450</xdr:rowOff>
        </xdr:to>
        <xdr:sp macro="" textlink="">
          <xdr:nvSpPr>
            <xdr:cNvPr id="1068" name="CommandButton6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</xdr:row>
          <xdr:rowOff>161925</xdr:rowOff>
        </xdr:from>
        <xdr:to>
          <xdr:col>13</xdr:col>
          <xdr:colOff>771525</xdr:colOff>
          <xdr:row>15</xdr:row>
          <xdr:rowOff>180975</xdr:rowOff>
        </xdr:to>
        <xdr:sp macro="" textlink="">
          <xdr:nvSpPr>
            <xdr:cNvPr id="1069" name="SellButton2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</xdr:row>
          <xdr:rowOff>171450</xdr:rowOff>
        </xdr:from>
        <xdr:to>
          <xdr:col>13</xdr:col>
          <xdr:colOff>771525</xdr:colOff>
          <xdr:row>17</xdr:row>
          <xdr:rowOff>0</xdr:rowOff>
        </xdr:to>
        <xdr:sp macro="" textlink="">
          <xdr:nvSpPr>
            <xdr:cNvPr id="1070" name="SellButton3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</xdr:row>
          <xdr:rowOff>180975</xdr:rowOff>
        </xdr:from>
        <xdr:to>
          <xdr:col>13</xdr:col>
          <xdr:colOff>771525</xdr:colOff>
          <xdr:row>18</xdr:row>
          <xdr:rowOff>9525</xdr:rowOff>
        </xdr:to>
        <xdr:sp macro="" textlink="">
          <xdr:nvSpPr>
            <xdr:cNvPr id="1071" name="SellButton4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17</xdr:row>
          <xdr:rowOff>180975</xdr:rowOff>
        </xdr:from>
        <xdr:to>
          <xdr:col>13</xdr:col>
          <xdr:colOff>771525</xdr:colOff>
          <xdr:row>19</xdr:row>
          <xdr:rowOff>0</xdr:rowOff>
        </xdr:to>
        <xdr:sp macro="" textlink="">
          <xdr:nvSpPr>
            <xdr:cNvPr id="1072" name="SellButton5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21</xdr:row>
          <xdr:rowOff>57150</xdr:rowOff>
        </xdr:from>
        <xdr:to>
          <xdr:col>9</xdr:col>
          <xdr:colOff>28575</xdr:colOff>
          <xdr:row>22</xdr:row>
          <xdr:rowOff>190500</xdr:rowOff>
        </xdr:to>
        <xdr:sp macro="" textlink="">
          <xdr:nvSpPr>
            <xdr:cNvPr id="1078" name="ModButton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21</xdr:row>
          <xdr:rowOff>57150</xdr:rowOff>
        </xdr:from>
        <xdr:to>
          <xdr:col>9</xdr:col>
          <xdr:colOff>971550</xdr:colOff>
          <xdr:row>22</xdr:row>
          <xdr:rowOff>190500</xdr:rowOff>
        </xdr:to>
        <xdr:sp macro="" textlink="">
          <xdr:nvSpPr>
            <xdr:cNvPr id="1079" name="CancelButton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absolute">
    <xdr:from>
      <xdr:col>0</xdr:col>
      <xdr:colOff>114300</xdr:colOff>
      <xdr:row>0</xdr:row>
      <xdr:rowOff>0</xdr:rowOff>
    </xdr:from>
    <xdr:to>
      <xdr:col>2</xdr:col>
      <xdr:colOff>716280</xdr:colOff>
      <xdr:row>3</xdr:row>
      <xdr:rowOff>125730</xdr:rowOff>
    </xdr:to>
    <xdr:pic>
      <xdr:nvPicPr>
        <xdr:cNvPr id="2" name="Bloomber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0"/>
          <a:ext cx="1821180" cy="563880"/>
        </a:xfrm>
        <a:prstGeom prst="rect">
          <a:avLst/>
        </a:prstGeom>
      </xdr:spPr>
    </xdr:pic>
    <xdr:clientData/>
  </xdr:twoCellAnchor>
  <xdr:twoCellAnchor editAs="absolute">
    <xdr:from>
      <xdr:col>2</xdr:col>
      <xdr:colOff>646100</xdr:colOff>
      <xdr:row>0</xdr:row>
      <xdr:rowOff>0</xdr:rowOff>
    </xdr:from>
    <xdr:to>
      <xdr:col>12</xdr:col>
      <xdr:colOff>324155</xdr:colOff>
      <xdr:row>3</xdr:row>
      <xdr:rowOff>133350</xdr:rowOff>
    </xdr:to>
    <xdr:pic>
      <xdr:nvPicPr>
        <xdr:cNvPr id="3" name="BannerTitle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65300" y="0"/>
          <a:ext cx="9098280" cy="571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mments" Target="../comments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Sh"/>
  <dimension ref="B1:O169"/>
  <sheetViews>
    <sheetView showGridLines="0" tabSelected="1" zoomScaleNormal="100" workbookViewId="0">
      <pane ySplit="26" topLeftCell="A27" activePane="bottomLeft" state="frozen"/>
      <selection pane="bottomLeft" activeCell="L7" sqref="L7"/>
    </sheetView>
  </sheetViews>
  <sheetFormatPr defaultColWidth="12.140625" defaultRowHeight="15" x14ac:dyDescent="0.25"/>
  <cols>
    <col min="1" max="1" width="3.140625" style="3" customWidth="1"/>
    <col min="2" max="2" width="15.140625" style="37" customWidth="1"/>
    <col min="3" max="3" width="15" style="37" customWidth="1"/>
    <col min="4" max="4" width="12.140625" style="37" customWidth="1"/>
    <col min="5" max="5" width="18.28515625" style="37" bestFit="1" customWidth="1"/>
    <col min="6" max="6" width="12.140625" style="37"/>
    <col min="7" max="7" width="17" style="37" customWidth="1"/>
    <col min="8" max="8" width="13" style="37" customWidth="1"/>
    <col min="9" max="9" width="12.5703125" style="37" customWidth="1"/>
    <col min="10" max="10" width="15.5703125" style="37" customWidth="1"/>
    <col min="11" max="11" width="13.42578125" style="37" customWidth="1"/>
    <col min="12" max="12" width="12.140625" style="37"/>
    <col min="13" max="13" width="13.42578125" style="37" customWidth="1"/>
    <col min="14" max="14" width="12.140625" style="38"/>
    <col min="15" max="16384" width="12.140625" style="3"/>
  </cols>
  <sheetData>
    <row r="1" spans="2:15" ht="5.0999999999999996" customHeigh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/>
    </row>
    <row r="2" spans="2:15" ht="15" customHeight="1" x14ac:dyDescent="0.2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3"/>
    </row>
    <row r="3" spans="2:15" ht="15" customHeight="1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3"/>
    </row>
    <row r="4" spans="2:15" ht="15" customHeight="1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3"/>
    </row>
    <row r="5" spans="2:15" ht="5.0999999999999996" customHeight="1" x14ac:dyDescent="0.25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3"/>
    </row>
    <row r="6" spans="2:15" x14ac:dyDescent="0.25">
      <c r="C6" s="41" t="s">
        <v>30</v>
      </c>
      <c r="D6" s="48" t="s">
        <v>23</v>
      </c>
      <c r="E6" s="40" t="str">
        <f>IF(PROD_BETA = "PROD", "emapisvc", "emapisvc_beta")</f>
        <v>emapisvc</v>
      </c>
      <c r="F6" s="3"/>
      <c r="G6" s="3"/>
      <c r="H6" s="3"/>
      <c r="I6" s="3"/>
      <c r="J6" s="3"/>
      <c r="K6" s="3"/>
      <c r="L6" s="3"/>
      <c r="M6" s="3"/>
      <c r="N6" s="3"/>
    </row>
    <row r="7" spans="2:15" x14ac:dyDescent="0.25">
      <c r="C7" s="41" t="s">
        <v>15</v>
      </c>
      <c r="D7" s="47">
        <v>1</v>
      </c>
      <c r="F7" s="3"/>
      <c r="G7" s="3"/>
      <c r="H7" s="3"/>
      <c r="I7" s="3"/>
      <c r="J7" s="3"/>
      <c r="K7" s="3"/>
      <c r="L7" s="3"/>
      <c r="M7" s="3"/>
      <c r="N7" s="3"/>
    </row>
    <row r="8" spans="2:15" ht="3.75" customHeight="1" thickBot="1" x14ac:dyDescent="0.3">
      <c r="B8" s="2"/>
      <c r="C8" s="2"/>
      <c r="D8" s="2"/>
      <c r="E8" s="2"/>
      <c r="F8" s="2"/>
      <c r="G8" s="2"/>
      <c r="H8" s="2"/>
      <c r="I8" s="2"/>
      <c r="J8" s="4"/>
      <c r="K8" s="5"/>
      <c r="L8" s="2"/>
      <c r="M8" s="2"/>
      <c r="N8" s="3"/>
    </row>
    <row r="9" spans="2:15" x14ac:dyDescent="0.25">
      <c r="B9" s="20" t="s">
        <v>20</v>
      </c>
      <c r="C9" s="21"/>
      <c r="D9" s="21"/>
      <c r="E9" s="21"/>
      <c r="F9" s="21"/>
      <c r="G9" s="21"/>
      <c r="H9" s="21"/>
      <c r="I9" s="21"/>
      <c r="J9" s="21"/>
      <c r="K9" s="22"/>
      <c r="L9" s="2"/>
      <c r="M9" s="2"/>
      <c r="N9" s="3"/>
    </row>
    <row r="10" spans="2:15" x14ac:dyDescent="0.25">
      <c r="B10" s="42" t="s">
        <v>0</v>
      </c>
      <c r="C10" s="43" t="s">
        <v>5</v>
      </c>
      <c r="D10" s="44" t="s">
        <v>2</v>
      </c>
      <c r="E10" s="44" t="s">
        <v>4</v>
      </c>
      <c r="F10" s="45" t="s">
        <v>3</v>
      </c>
      <c r="G10" s="46" t="s">
        <v>24</v>
      </c>
      <c r="H10" s="43" t="s">
        <v>22</v>
      </c>
      <c r="I10" s="44" t="s">
        <v>6</v>
      </c>
      <c r="J10" s="7"/>
      <c r="K10" s="9"/>
      <c r="L10" s="3"/>
      <c r="M10" s="2"/>
      <c r="N10" s="3"/>
    </row>
    <row r="11" spans="2:15" ht="15.75" thickBot="1" x14ac:dyDescent="0.3">
      <c r="B11" s="10" t="s">
        <v>32</v>
      </c>
      <c r="C11" s="11" t="s">
        <v>50</v>
      </c>
      <c r="D11" s="11"/>
      <c r="E11" s="11" t="s">
        <v>31</v>
      </c>
      <c r="F11" s="11"/>
      <c r="G11" s="11"/>
      <c r="H11" s="11" t="s">
        <v>25</v>
      </c>
      <c r="I11" s="11" t="s">
        <v>26</v>
      </c>
      <c r="J11" s="11"/>
      <c r="K11" s="23"/>
      <c r="L11" s="3"/>
      <c r="M11" s="2"/>
      <c r="N11" s="3"/>
    </row>
    <row r="12" spans="2:15" ht="3.75" customHeight="1" thickBot="1" x14ac:dyDescent="0.3">
      <c r="B12" s="2"/>
      <c r="C12" s="2"/>
      <c r="D12" s="2"/>
      <c r="E12" s="2"/>
      <c r="F12" s="2"/>
      <c r="G12" s="2"/>
      <c r="H12" s="2"/>
      <c r="I12" s="2"/>
      <c r="J12" s="4"/>
      <c r="K12" s="2"/>
      <c r="L12" s="3"/>
      <c r="M12" s="2"/>
      <c r="N12" s="3"/>
    </row>
    <row r="13" spans="2:15" ht="34.5" customHeight="1" x14ac:dyDescent="0.25">
      <c r="B13" s="50" t="s">
        <v>21</v>
      </c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2"/>
      <c r="O13" s="2"/>
    </row>
    <row r="14" spans="2:15" x14ac:dyDescent="0.25">
      <c r="B14" s="42" t="s">
        <v>9</v>
      </c>
      <c r="C14" s="43" t="s">
        <v>8</v>
      </c>
      <c r="D14" s="43" t="s">
        <v>7</v>
      </c>
      <c r="E14" s="43" t="s">
        <v>10</v>
      </c>
      <c r="F14" s="43" t="s">
        <v>11</v>
      </c>
      <c r="G14" s="43" t="s">
        <v>12</v>
      </c>
      <c r="H14" s="43" t="s">
        <v>5</v>
      </c>
      <c r="I14" s="43" t="s">
        <v>2</v>
      </c>
      <c r="J14" s="43" t="s">
        <v>24</v>
      </c>
      <c r="K14" s="43" t="s">
        <v>22</v>
      </c>
      <c r="L14" s="43" t="s">
        <v>6</v>
      </c>
      <c r="M14" s="7"/>
      <c r="N14" s="12"/>
      <c r="O14" s="2"/>
    </row>
    <row r="15" spans="2:15" x14ac:dyDescent="0.25">
      <c r="B15" s="6">
        <f>C15</f>
        <v>1</v>
      </c>
      <c r="C15" s="7">
        <f>IF(LEFT(_xll.BDP($B$11,"BEST_BID1_SZ"),1)="#",_xll.BDP($B$11,"BID_SIZE"),_xll.BDP($B$11,"BEST_BID1_SZ"))</f>
        <v>1</v>
      </c>
      <c r="D15" s="7">
        <f>IF(LEFT(_xll.BDP($B$11,"BEST_BID1"),1)="#",_xll.BDP($B$11,"BID"),_xll.BDP($B$11,"BEST_BID1"))</f>
        <v>90.45</v>
      </c>
      <c r="E15" s="7">
        <f>IF(LEFT(_xll.BDP($B$11,"BEST_ASK1"),1)="#",_xll.BDP($B$11,"ASK"),_xll.BDP($B$11,"BEST_ASK1"))</f>
        <v>75</v>
      </c>
      <c r="F15" s="1">
        <f>IF(LEFT(_xll.BDP($B$11,"BEST_ASK1_SZ"),1)="#",_xll.BDP($B$11,"ASK_SIZE"),_xll.BDP($B$11,"BEST_ASK1_SZ"))</f>
        <v>52</v>
      </c>
      <c r="G15" s="1">
        <f>F15</f>
        <v>52</v>
      </c>
      <c r="H15" s="13" t="s">
        <v>50</v>
      </c>
      <c r="I15" s="13">
        <v>1000</v>
      </c>
      <c r="J15" s="13"/>
      <c r="K15" s="13" t="s">
        <v>25</v>
      </c>
      <c r="L15" s="13" t="s">
        <v>26</v>
      </c>
      <c r="M15" s="24"/>
      <c r="N15" s="25"/>
      <c r="O15" s="2"/>
    </row>
    <row r="16" spans="2:15" x14ac:dyDescent="0.25">
      <c r="B16" s="6">
        <f>IF(D16="","",C16+B15)</f>
        <v>2</v>
      </c>
      <c r="C16" s="4">
        <f>IF(LEFT(_xll.BDP($B$11,"BEST_BID2_SZ"),1)="#",_xll.BDP($B$11,"BID_SIZE"),_xll.BDP($B$11,"BEST_BID2_SZ"))</f>
        <v>1</v>
      </c>
      <c r="D16" s="8">
        <f>IF(LEFT(_xll.BDP($B$11,"BEST_BID2"),1)="#","",_xll.BDP($B$11,"BEST_BID2"))</f>
        <v>90.44</v>
      </c>
      <c r="E16" s="8">
        <f>IF(LEFT(_xll.BDP($B$11,"BEST_ASK2"),1)="#","",_xll.BDP($B$11,"BEST_ASK2"))</f>
        <v>80</v>
      </c>
      <c r="F16" s="4">
        <f>IF(LEFT(_xll.BDP($B$11,"BEST_ASK2_SZ"),1)="#","",_xll.BDP($B$11,"BEST_ASK2_SZ"))</f>
        <v>1</v>
      </c>
      <c r="G16" s="4">
        <f>IF(+OR(F16=0,F16=""),"",F16+G15)</f>
        <v>53</v>
      </c>
      <c r="H16" s="13" t="s">
        <v>50</v>
      </c>
      <c r="I16" s="13">
        <v>1001</v>
      </c>
      <c r="J16" s="13"/>
      <c r="K16" s="13" t="s">
        <v>25</v>
      </c>
      <c r="L16" s="13" t="s">
        <v>26</v>
      </c>
      <c r="M16" s="24"/>
      <c r="N16" s="25"/>
      <c r="O16" s="2"/>
    </row>
    <row r="17" spans="2:15" x14ac:dyDescent="0.25">
      <c r="B17" s="6">
        <f>IF(D17="","",C17+B16)</f>
        <v>6</v>
      </c>
      <c r="C17" s="8">
        <f>IF(LEFT(_xll.BDP($B$11,"BEST_BID3_SZ"),1)="#","",_xll.BDP($B$11,"BEST_BID3_SZ"))</f>
        <v>4</v>
      </c>
      <c r="D17" s="8">
        <f>IF(LEFT(_xll.BDP($B$11,"BEST_BID3"),1)="#","",_xll.BDP($B$11,"BEST_BID3"))</f>
        <v>86</v>
      </c>
      <c r="E17" s="14">
        <f>IF(LEFT(_xll.BDP($B$11,"BEST_ASK3"),1)="#","",_xll.BDP($B$11,"BEST_ASK3"))</f>
        <v>80.7</v>
      </c>
      <c r="F17" s="14">
        <f>IF(LEFT(_xll.BDP($B$11,"BEST_ASK3_SZ"),1)="#","",_xll.BDP($B$11,"BEST_ASK3_SZ"))</f>
        <v>2</v>
      </c>
      <c r="G17" s="4">
        <f>IF(+OR(F17=0,F17=""),"",F17+G16)</f>
        <v>55</v>
      </c>
      <c r="H17" s="13" t="s">
        <v>50</v>
      </c>
      <c r="I17" s="13">
        <v>1002</v>
      </c>
      <c r="J17" s="13"/>
      <c r="K17" s="13" t="s">
        <v>25</v>
      </c>
      <c r="L17" s="13" t="s">
        <v>26</v>
      </c>
      <c r="M17" s="24"/>
      <c r="N17" s="25"/>
      <c r="O17" s="2"/>
    </row>
    <row r="18" spans="2:15" x14ac:dyDescent="0.25">
      <c r="B18" s="6">
        <f>IF(D18="","",C18+B17)</f>
        <v>13</v>
      </c>
      <c r="C18" s="4">
        <f>IF(LEFT(_xll.BDP($B$11,"BEST_BID4_SZ"),1)="#","",_xll.BDP($B$11,"BEST_BID4_SZ"))</f>
        <v>7</v>
      </c>
      <c r="D18" s="4">
        <f>IF(LEFT(_xll.BDP($B$11,"BEST_BID4"),1)="#","",_xll.BDP($B$11,"BEST_BID4"))</f>
        <v>85.71</v>
      </c>
      <c r="E18" s="4">
        <f>IF(LEFT(_xll.BDP($B$11,"BEST_ASK4"),1)="#","",_xll.BDP($B$11,"BEST_ASK4"))</f>
        <v>80.73</v>
      </c>
      <c r="F18" s="4">
        <f>IF(LEFT(_xll.BDP($B$11,"BEST_ASK4_SZ"),1)="#","",_xll.BDP($B$11,"BEST_ASK4_SZ"))</f>
        <v>1</v>
      </c>
      <c r="G18" s="4">
        <f>IF(+OR(F18=0,F18=""),"",F18+G17)</f>
        <v>56</v>
      </c>
      <c r="H18" s="13" t="s">
        <v>50</v>
      </c>
      <c r="I18" s="13">
        <v>1003</v>
      </c>
      <c r="J18" s="13"/>
      <c r="K18" s="13" t="s">
        <v>25</v>
      </c>
      <c r="L18" s="13" t="s">
        <v>26</v>
      </c>
      <c r="M18" s="24"/>
      <c r="N18" s="25"/>
      <c r="O18" s="2"/>
    </row>
    <row r="19" spans="2:15" ht="15.75" thickBot="1" x14ac:dyDescent="0.3">
      <c r="B19" s="10">
        <f>IF(D19="","",C19+B18)</f>
        <v>20</v>
      </c>
      <c r="C19" s="15">
        <f>IF(LEFT(_xll.BDP($B$11,"BEST_BID5_SZ"),1)="#","",_xll.BDP($B$11,"BEST_BID5_SZ"))</f>
        <v>7</v>
      </c>
      <c r="D19" s="15">
        <f>IF(LEFT(_xll.BDP($B$11,"BEST_BID5"),1)="#","",_xll.BDP($B$11,"BEST_BID5"))</f>
        <v>85.68</v>
      </c>
      <c r="E19" s="15">
        <f>IF(LEFT(_xll.BDP($B$11,"BEST_ASK5"),1)="#","",_xll.BDP($B$11,"BEST_ASK5"))</f>
        <v>82</v>
      </c>
      <c r="F19" s="15">
        <f>IF(LEFT(_xll.BDP($B$11,"BEST_ASK5_SZ"),1)="#","",_xll.BDP($B$11,"BEST_ASK5_SZ"))</f>
        <v>1</v>
      </c>
      <c r="G19" s="15">
        <f>IF(+OR(F19=0,F19=""),"",F19+G18)</f>
        <v>57</v>
      </c>
      <c r="H19" s="16" t="s">
        <v>50</v>
      </c>
      <c r="I19" s="16">
        <v>1004</v>
      </c>
      <c r="J19" s="16"/>
      <c r="K19" s="16" t="s">
        <v>25</v>
      </c>
      <c r="L19" s="16" t="s">
        <v>26</v>
      </c>
      <c r="M19" s="26"/>
      <c r="N19" s="27"/>
      <c r="O19" s="5"/>
    </row>
    <row r="20" spans="2:15" ht="3.75" customHeight="1" thickBot="1" x14ac:dyDescent="0.3">
      <c r="B20" s="2"/>
      <c r="C20" s="2"/>
      <c r="D20" s="2"/>
      <c r="E20" s="2"/>
      <c r="F20" s="2"/>
      <c r="G20" s="2"/>
      <c r="H20" s="2"/>
      <c r="I20" s="2"/>
      <c r="J20" s="2"/>
      <c r="K20" s="2"/>
      <c r="L20" s="5"/>
      <c r="M20" s="5"/>
      <c r="N20" s="3"/>
    </row>
    <row r="21" spans="2:15" ht="21.75" customHeight="1" x14ac:dyDescent="0.25">
      <c r="B21" s="20" t="s">
        <v>27</v>
      </c>
      <c r="C21" s="21"/>
      <c r="D21" s="21"/>
      <c r="E21" s="21"/>
      <c r="F21" s="21"/>
      <c r="G21" s="21"/>
      <c r="H21" s="21"/>
      <c r="I21" s="21"/>
      <c r="J21" s="22"/>
      <c r="K21" s="20" t="s">
        <v>28</v>
      </c>
      <c r="L21" s="22"/>
      <c r="M21" s="2"/>
      <c r="N21" s="3"/>
    </row>
    <row r="22" spans="2:15" ht="13.5" customHeight="1" x14ac:dyDescent="0.25">
      <c r="B22" s="42" t="s">
        <v>29</v>
      </c>
      <c r="C22" s="46" t="s">
        <v>13</v>
      </c>
      <c r="D22" s="43" t="s">
        <v>0</v>
      </c>
      <c r="E22" s="43" t="s">
        <v>2</v>
      </c>
      <c r="F22" s="43" t="s">
        <v>4</v>
      </c>
      <c r="G22" s="43" t="s">
        <v>3</v>
      </c>
      <c r="H22" s="43" t="s">
        <v>22</v>
      </c>
      <c r="I22" s="7"/>
      <c r="J22" s="9"/>
      <c r="K22" s="6"/>
      <c r="L22" s="9"/>
      <c r="M22" s="2"/>
      <c r="N22" s="3"/>
    </row>
    <row r="23" spans="2:15" ht="17.25" customHeight="1" thickBot="1" x14ac:dyDescent="0.3">
      <c r="B23" s="10"/>
      <c r="C23" s="11"/>
      <c r="D23" s="11"/>
      <c r="E23" s="11"/>
      <c r="F23" s="11"/>
      <c r="G23" s="11"/>
      <c r="H23" s="11"/>
      <c r="I23" s="11"/>
      <c r="J23" s="23"/>
      <c r="K23" s="10"/>
      <c r="L23" s="23"/>
      <c r="M23" s="2"/>
      <c r="N23" s="3"/>
    </row>
    <row r="24" spans="2:15" ht="3.75" customHeight="1" thickBot="1" x14ac:dyDescent="0.3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</row>
    <row r="25" spans="2:15" x14ac:dyDescent="0.25">
      <c r="B25" s="28" t="s">
        <v>19</v>
      </c>
      <c r="C25" s="29"/>
      <c r="D25" s="29"/>
      <c r="E25" s="29"/>
      <c r="F25" s="29"/>
      <c r="G25" s="29"/>
      <c r="H25" s="29"/>
      <c r="I25" s="29"/>
      <c r="J25" s="29"/>
      <c r="K25" s="29"/>
      <c r="L25" s="30"/>
      <c r="M25" s="2"/>
      <c r="N25" s="2"/>
    </row>
    <row r="26" spans="2:15" x14ac:dyDescent="0.25">
      <c r="B26" s="17" t="s">
        <v>29</v>
      </c>
      <c r="C26" s="18" t="s">
        <v>13</v>
      </c>
      <c r="D26" s="18" t="s">
        <v>15</v>
      </c>
      <c r="E26" s="18" t="s">
        <v>0</v>
      </c>
      <c r="F26" s="18" t="s">
        <v>1</v>
      </c>
      <c r="G26" s="18" t="s">
        <v>14</v>
      </c>
      <c r="H26" s="18" t="s">
        <v>4</v>
      </c>
      <c r="I26" s="18" t="s">
        <v>3</v>
      </c>
      <c r="J26" s="18" t="s">
        <v>16</v>
      </c>
      <c r="K26" s="18" t="s">
        <v>17</v>
      </c>
      <c r="L26" s="19" t="s">
        <v>18</v>
      </c>
      <c r="M26" s="2"/>
      <c r="N26" s="2"/>
    </row>
    <row r="27" spans="2:15" x14ac:dyDescent="0.25">
      <c r="B27" s="32">
        <v>4242904</v>
      </c>
      <c r="C27" s="31">
        <v>1</v>
      </c>
      <c r="D27" s="31" t="s">
        <v>45</v>
      </c>
      <c r="E27" s="31" t="s">
        <v>32</v>
      </c>
      <c r="F27" s="31" t="s">
        <v>33</v>
      </c>
      <c r="G27" s="31">
        <v>500</v>
      </c>
      <c r="H27" s="31" t="s">
        <v>31</v>
      </c>
      <c r="I27" s="31">
        <v>80.73</v>
      </c>
      <c r="J27" s="31">
        <v>80.73</v>
      </c>
      <c r="K27" s="31">
        <v>500</v>
      </c>
      <c r="L27" s="33">
        <v>0</v>
      </c>
      <c r="N27" s="37"/>
    </row>
    <row r="28" spans="2:15" x14ac:dyDescent="0.25">
      <c r="B28" s="32">
        <v>4242903</v>
      </c>
      <c r="C28" s="31">
        <v>1</v>
      </c>
      <c r="D28" s="31" t="s">
        <v>45</v>
      </c>
      <c r="E28" s="31" t="s">
        <v>32</v>
      </c>
      <c r="F28" s="31" t="s">
        <v>34</v>
      </c>
      <c r="G28" s="31">
        <v>500</v>
      </c>
      <c r="H28" s="31" t="s">
        <v>31</v>
      </c>
      <c r="I28" s="31">
        <v>90.44</v>
      </c>
      <c r="J28" s="31">
        <v>90.44</v>
      </c>
      <c r="K28" s="31">
        <v>500</v>
      </c>
      <c r="L28" s="33">
        <v>0</v>
      </c>
      <c r="M28" s="49"/>
      <c r="N28" s="49"/>
    </row>
    <row r="29" spans="2:15" x14ac:dyDescent="0.25">
      <c r="B29" s="32">
        <v>4242902</v>
      </c>
      <c r="C29" s="31">
        <v>1</v>
      </c>
      <c r="D29" s="31" t="s">
        <v>45</v>
      </c>
      <c r="E29" s="31" t="s">
        <v>32</v>
      </c>
      <c r="F29" s="31" t="s">
        <v>34</v>
      </c>
      <c r="G29" s="31">
        <v>500</v>
      </c>
      <c r="H29" s="31" t="s">
        <v>31</v>
      </c>
      <c r="I29" s="31">
        <v>90.44</v>
      </c>
      <c r="J29" s="31">
        <v>90.44</v>
      </c>
      <c r="K29" s="31">
        <v>500</v>
      </c>
      <c r="L29" s="33">
        <v>0</v>
      </c>
      <c r="M29" s="49"/>
      <c r="N29" s="49"/>
    </row>
    <row r="30" spans="2:15" x14ac:dyDescent="0.25">
      <c r="B30" s="32">
        <v>4242901</v>
      </c>
      <c r="C30" s="31">
        <v>1</v>
      </c>
      <c r="D30" s="31" t="s">
        <v>46</v>
      </c>
      <c r="E30" s="31" t="s">
        <v>35</v>
      </c>
      <c r="F30" s="31" t="s">
        <v>34</v>
      </c>
      <c r="G30" s="31">
        <v>2959</v>
      </c>
      <c r="H30" s="31" t="s">
        <v>36</v>
      </c>
      <c r="I30" s="31">
        <v>0</v>
      </c>
      <c r="J30" s="31">
        <v>0</v>
      </c>
      <c r="K30" s="31">
        <v>0</v>
      </c>
      <c r="L30" s="33">
        <v>2959</v>
      </c>
      <c r="M30" s="49"/>
      <c r="N30" s="49"/>
    </row>
    <row r="31" spans="2:15" x14ac:dyDescent="0.25">
      <c r="B31" s="32">
        <v>4242891</v>
      </c>
      <c r="C31" s="31">
        <v>0</v>
      </c>
      <c r="D31" s="31"/>
      <c r="E31" s="31" t="s">
        <v>37</v>
      </c>
      <c r="F31" s="31" t="s">
        <v>34</v>
      </c>
      <c r="G31" s="31">
        <v>100</v>
      </c>
      <c r="H31" s="31" t="s">
        <v>36</v>
      </c>
      <c r="I31" s="31">
        <v>0</v>
      </c>
      <c r="J31" s="31">
        <v>0</v>
      </c>
      <c r="K31" s="31">
        <v>0</v>
      </c>
      <c r="L31" s="33">
        <v>0</v>
      </c>
      <c r="M31" s="49"/>
      <c r="N31" s="49"/>
    </row>
    <row r="32" spans="2:15" x14ac:dyDescent="0.25">
      <c r="B32" s="32">
        <v>4242886</v>
      </c>
      <c r="C32" s="31">
        <v>0</v>
      </c>
      <c r="D32" s="31"/>
      <c r="E32" s="31" t="s">
        <v>38</v>
      </c>
      <c r="F32" s="31" t="s">
        <v>33</v>
      </c>
      <c r="G32" s="31">
        <v>25000</v>
      </c>
      <c r="H32" s="31" t="s">
        <v>36</v>
      </c>
      <c r="I32" s="31">
        <v>0</v>
      </c>
      <c r="J32" s="31">
        <v>0</v>
      </c>
      <c r="K32" s="31">
        <v>0</v>
      </c>
      <c r="L32" s="33">
        <v>0</v>
      </c>
      <c r="N32" s="37"/>
    </row>
    <row r="33" spans="2:14" x14ac:dyDescent="0.25">
      <c r="B33" s="32">
        <v>4242899</v>
      </c>
      <c r="C33" s="31">
        <v>1</v>
      </c>
      <c r="D33" s="31" t="s">
        <v>45</v>
      </c>
      <c r="E33" s="31" t="s">
        <v>39</v>
      </c>
      <c r="F33" s="31" t="s">
        <v>34</v>
      </c>
      <c r="G33" s="31">
        <v>2895</v>
      </c>
      <c r="H33" s="31" t="s">
        <v>36</v>
      </c>
      <c r="I33" s="31">
        <v>0</v>
      </c>
      <c r="J33" s="31">
        <v>72.239999999999995</v>
      </c>
      <c r="K33" s="31">
        <v>2895</v>
      </c>
      <c r="L33" s="33">
        <v>0</v>
      </c>
      <c r="N33" s="37"/>
    </row>
    <row r="34" spans="2:14" x14ac:dyDescent="0.25">
      <c r="B34" s="32">
        <v>4242890</v>
      </c>
      <c r="C34" s="31">
        <v>0</v>
      </c>
      <c r="D34" s="31"/>
      <c r="E34" s="31" t="s">
        <v>37</v>
      </c>
      <c r="F34" s="31" t="s">
        <v>34</v>
      </c>
      <c r="G34" s="31">
        <v>100</v>
      </c>
      <c r="H34" s="31" t="s">
        <v>36</v>
      </c>
      <c r="I34" s="31">
        <v>0</v>
      </c>
      <c r="J34" s="31">
        <v>0</v>
      </c>
      <c r="K34" s="31">
        <v>0</v>
      </c>
      <c r="L34" s="33">
        <v>0</v>
      </c>
      <c r="N34" s="37"/>
    </row>
    <row r="35" spans="2:14" x14ac:dyDescent="0.25">
      <c r="B35" s="32">
        <v>4242895</v>
      </c>
      <c r="C35" s="31">
        <v>1</v>
      </c>
      <c r="D35" s="31" t="s">
        <v>46</v>
      </c>
      <c r="E35" s="31" t="s">
        <v>40</v>
      </c>
      <c r="F35" s="31" t="s">
        <v>34</v>
      </c>
      <c r="G35" s="31">
        <v>9897</v>
      </c>
      <c r="H35" s="31" t="s">
        <v>36</v>
      </c>
      <c r="I35" s="31">
        <v>0</v>
      </c>
      <c r="J35" s="31">
        <v>0</v>
      </c>
      <c r="K35" s="31">
        <v>0</v>
      </c>
      <c r="L35" s="33">
        <v>9897</v>
      </c>
      <c r="N35" s="37"/>
    </row>
    <row r="36" spans="2:14" x14ac:dyDescent="0.25">
      <c r="B36" s="32">
        <v>4242858</v>
      </c>
      <c r="C36" s="31">
        <v>1</v>
      </c>
      <c r="D36" s="31" t="s">
        <v>45</v>
      </c>
      <c r="E36" s="31" t="s">
        <v>38</v>
      </c>
      <c r="F36" s="31" t="s">
        <v>33</v>
      </c>
      <c r="G36" s="31">
        <v>1500</v>
      </c>
      <c r="H36" s="31" t="s">
        <v>36</v>
      </c>
      <c r="I36" s="31">
        <v>0</v>
      </c>
      <c r="J36" s="31">
        <v>263.82</v>
      </c>
      <c r="K36" s="31">
        <v>1500</v>
      </c>
      <c r="L36" s="33">
        <v>0</v>
      </c>
      <c r="N36" s="37"/>
    </row>
    <row r="37" spans="2:14" x14ac:dyDescent="0.25">
      <c r="B37" s="32">
        <v>4242897</v>
      </c>
      <c r="C37" s="31">
        <v>1</v>
      </c>
      <c r="D37" s="31" t="s">
        <v>47</v>
      </c>
      <c r="E37" s="31" t="s">
        <v>41</v>
      </c>
      <c r="F37" s="31" t="s">
        <v>34</v>
      </c>
      <c r="G37" s="31">
        <v>2138</v>
      </c>
      <c r="H37" s="31" t="s">
        <v>36</v>
      </c>
      <c r="I37" s="31">
        <v>0</v>
      </c>
      <c r="J37" s="31">
        <v>0</v>
      </c>
      <c r="K37" s="31">
        <v>0</v>
      </c>
      <c r="L37" s="33">
        <v>0</v>
      </c>
      <c r="N37" s="37"/>
    </row>
    <row r="38" spans="2:14" x14ac:dyDescent="0.25">
      <c r="B38" s="32">
        <v>4242892</v>
      </c>
      <c r="C38" s="31">
        <v>0</v>
      </c>
      <c r="D38" s="31"/>
      <c r="E38" s="31" t="s">
        <v>37</v>
      </c>
      <c r="F38" s="31" t="s">
        <v>34</v>
      </c>
      <c r="G38" s="31">
        <v>100</v>
      </c>
      <c r="H38" s="31" t="s">
        <v>36</v>
      </c>
      <c r="I38" s="31">
        <v>0</v>
      </c>
      <c r="J38" s="31">
        <v>0</v>
      </c>
      <c r="K38" s="31">
        <v>0</v>
      </c>
      <c r="L38" s="33">
        <v>0</v>
      </c>
      <c r="N38" s="37"/>
    </row>
    <row r="39" spans="2:14" x14ac:dyDescent="0.25">
      <c r="B39" s="32">
        <v>4242894</v>
      </c>
      <c r="C39" s="31">
        <v>1</v>
      </c>
      <c r="D39" s="31" t="s">
        <v>45</v>
      </c>
      <c r="E39" s="31" t="s">
        <v>42</v>
      </c>
      <c r="F39" s="31" t="s">
        <v>34</v>
      </c>
      <c r="G39" s="31">
        <v>1504</v>
      </c>
      <c r="H39" s="31" t="s">
        <v>31</v>
      </c>
      <c r="I39" s="31">
        <v>39</v>
      </c>
      <c r="J39" s="31">
        <v>39</v>
      </c>
      <c r="K39" s="31">
        <v>1504</v>
      </c>
      <c r="L39" s="33">
        <v>0</v>
      </c>
      <c r="M39" s="49"/>
      <c r="N39" s="49"/>
    </row>
    <row r="40" spans="2:14" x14ac:dyDescent="0.25">
      <c r="B40" s="32">
        <v>3930245</v>
      </c>
      <c r="C40" s="31">
        <v>2</v>
      </c>
      <c r="D40" s="31" t="s">
        <v>48</v>
      </c>
      <c r="E40" s="31" t="s">
        <v>42</v>
      </c>
      <c r="F40" s="31" t="s">
        <v>34</v>
      </c>
      <c r="G40" s="31">
        <v>750</v>
      </c>
      <c r="H40" s="31" t="s">
        <v>36</v>
      </c>
      <c r="I40" s="31">
        <v>0</v>
      </c>
      <c r="J40" s="31">
        <v>0</v>
      </c>
      <c r="K40" s="31">
        <v>0</v>
      </c>
      <c r="L40" s="33">
        <v>0</v>
      </c>
      <c r="M40" s="49"/>
      <c r="N40" s="49"/>
    </row>
    <row r="41" spans="2:14" x14ac:dyDescent="0.25">
      <c r="B41" s="32">
        <v>4242896</v>
      </c>
      <c r="C41" s="31">
        <v>1</v>
      </c>
      <c r="D41" s="31" t="s">
        <v>45</v>
      </c>
      <c r="E41" s="31" t="s">
        <v>32</v>
      </c>
      <c r="F41" s="31" t="s">
        <v>34</v>
      </c>
      <c r="G41" s="31">
        <v>3240</v>
      </c>
      <c r="H41" s="31" t="s">
        <v>36</v>
      </c>
      <c r="I41" s="31">
        <v>0</v>
      </c>
      <c r="J41" s="31">
        <v>83.14</v>
      </c>
      <c r="K41" s="31">
        <v>3240</v>
      </c>
      <c r="L41" s="33">
        <v>0</v>
      </c>
      <c r="N41" s="37"/>
    </row>
    <row r="42" spans="2:14" x14ac:dyDescent="0.25">
      <c r="B42" s="32">
        <v>4242898</v>
      </c>
      <c r="C42" s="31">
        <v>1</v>
      </c>
      <c r="D42" s="31" t="s">
        <v>47</v>
      </c>
      <c r="E42" s="31" t="s">
        <v>43</v>
      </c>
      <c r="F42" s="31" t="s">
        <v>34</v>
      </c>
      <c r="G42" s="31">
        <v>2903</v>
      </c>
      <c r="H42" s="31" t="s">
        <v>36</v>
      </c>
      <c r="I42" s="31">
        <v>0</v>
      </c>
      <c r="J42" s="31">
        <v>0</v>
      </c>
      <c r="K42" s="31">
        <v>0</v>
      </c>
      <c r="L42" s="33">
        <v>0</v>
      </c>
      <c r="N42" s="37"/>
    </row>
    <row r="43" spans="2:14" x14ac:dyDescent="0.25">
      <c r="B43" s="32">
        <v>4242900</v>
      </c>
      <c r="C43" s="31">
        <v>1</v>
      </c>
      <c r="D43" s="31" t="s">
        <v>49</v>
      </c>
      <c r="E43" s="31" t="s">
        <v>44</v>
      </c>
      <c r="F43" s="31" t="s">
        <v>34</v>
      </c>
      <c r="G43" s="31">
        <v>9484</v>
      </c>
      <c r="H43" s="31" t="s">
        <v>36</v>
      </c>
      <c r="I43" s="31">
        <v>0</v>
      </c>
      <c r="J43" s="31">
        <v>40.58</v>
      </c>
      <c r="K43" s="31">
        <v>4742</v>
      </c>
      <c r="L43" s="33">
        <v>4742</v>
      </c>
      <c r="N43" s="37"/>
    </row>
    <row r="44" spans="2:14" x14ac:dyDescent="0.25">
      <c r="B44" s="32"/>
      <c r="C44" s="31"/>
      <c r="D44" s="31"/>
      <c r="E44" s="31"/>
      <c r="F44" s="31"/>
      <c r="G44" s="31"/>
      <c r="H44" s="31"/>
      <c r="I44" s="31"/>
      <c r="J44" s="31"/>
      <c r="K44" s="31"/>
      <c r="L44" s="33"/>
      <c r="N44" s="37"/>
    </row>
    <row r="45" spans="2:14" x14ac:dyDescent="0.25">
      <c r="B45" s="32"/>
      <c r="C45" s="31"/>
      <c r="D45" s="31"/>
      <c r="E45" s="31"/>
      <c r="F45" s="31"/>
      <c r="G45" s="31"/>
      <c r="H45" s="31"/>
      <c r="I45" s="31"/>
      <c r="J45" s="31"/>
      <c r="K45" s="31"/>
      <c r="L45" s="33"/>
      <c r="N45" s="37"/>
    </row>
    <row r="46" spans="2:14" x14ac:dyDescent="0.25">
      <c r="B46" s="32"/>
      <c r="C46" s="31"/>
      <c r="D46" s="31"/>
      <c r="E46" s="31"/>
      <c r="F46" s="31"/>
      <c r="G46" s="31"/>
      <c r="H46" s="31"/>
      <c r="I46" s="31"/>
      <c r="J46" s="31"/>
      <c r="K46" s="31"/>
      <c r="L46" s="33"/>
      <c r="N46" s="37"/>
    </row>
    <row r="47" spans="2:14" x14ac:dyDescent="0.25">
      <c r="B47" s="32"/>
      <c r="C47" s="31"/>
      <c r="D47" s="31"/>
      <c r="E47" s="31"/>
      <c r="F47" s="31"/>
      <c r="G47" s="31"/>
      <c r="H47" s="31"/>
      <c r="I47" s="31"/>
      <c r="J47" s="31"/>
      <c r="K47" s="31"/>
      <c r="L47" s="33"/>
      <c r="N47" s="37"/>
    </row>
    <row r="48" spans="2:14" x14ac:dyDescent="0.25">
      <c r="B48" s="32"/>
      <c r="C48" s="31"/>
      <c r="D48" s="31"/>
      <c r="E48" s="31"/>
      <c r="F48" s="31"/>
      <c r="G48" s="31"/>
      <c r="H48" s="31"/>
      <c r="I48" s="31"/>
      <c r="J48" s="31"/>
      <c r="K48" s="31"/>
      <c r="L48" s="33"/>
      <c r="N48" s="37"/>
    </row>
    <row r="49" spans="2:14" x14ac:dyDescent="0.25">
      <c r="B49" s="32"/>
      <c r="C49" s="31"/>
      <c r="D49" s="31"/>
      <c r="E49" s="31"/>
      <c r="F49" s="31"/>
      <c r="G49" s="31"/>
      <c r="H49" s="31"/>
      <c r="I49" s="31"/>
      <c r="J49" s="31"/>
      <c r="K49" s="31"/>
      <c r="L49" s="33"/>
      <c r="N49" s="37"/>
    </row>
    <row r="50" spans="2:14" x14ac:dyDescent="0.25">
      <c r="B50" s="32"/>
      <c r="C50" s="31"/>
      <c r="D50" s="31"/>
      <c r="E50" s="31"/>
      <c r="F50" s="31"/>
      <c r="G50" s="31"/>
      <c r="H50" s="31"/>
      <c r="I50" s="31"/>
      <c r="J50" s="31"/>
      <c r="K50" s="31"/>
      <c r="L50" s="33"/>
      <c r="N50" s="37"/>
    </row>
    <row r="51" spans="2:14" x14ac:dyDescent="0.25">
      <c r="B51" s="32"/>
      <c r="C51" s="31"/>
      <c r="D51" s="31"/>
      <c r="E51" s="31"/>
      <c r="F51" s="31"/>
      <c r="G51" s="31"/>
      <c r="H51" s="31"/>
      <c r="I51" s="31"/>
      <c r="J51" s="31"/>
      <c r="K51" s="31"/>
      <c r="L51" s="33"/>
      <c r="N51" s="37"/>
    </row>
    <row r="52" spans="2:14" x14ac:dyDescent="0.25">
      <c r="B52" s="32"/>
      <c r="C52" s="31"/>
      <c r="D52" s="31"/>
      <c r="E52" s="31"/>
      <c r="F52" s="31"/>
      <c r="G52" s="31"/>
      <c r="H52" s="31"/>
      <c r="I52" s="31"/>
      <c r="J52" s="31"/>
      <c r="K52" s="31"/>
      <c r="L52" s="33"/>
      <c r="N52" s="37"/>
    </row>
    <row r="53" spans="2:14" x14ac:dyDescent="0.25">
      <c r="B53" s="32"/>
      <c r="C53" s="31"/>
      <c r="D53" s="31"/>
      <c r="E53" s="31"/>
      <c r="F53" s="31"/>
      <c r="G53" s="31"/>
      <c r="H53" s="31"/>
      <c r="I53" s="31"/>
      <c r="J53" s="31"/>
      <c r="K53" s="31"/>
      <c r="L53" s="33"/>
      <c r="N53" s="37"/>
    </row>
    <row r="54" spans="2:14" x14ac:dyDescent="0.25">
      <c r="B54" s="32"/>
      <c r="C54" s="31"/>
      <c r="D54" s="31"/>
      <c r="E54" s="31"/>
      <c r="F54" s="31"/>
      <c r="G54" s="31"/>
      <c r="H54" s="31"/>
      <c r="I54" s="31"/>
      <c r="J54" s="31"/>
      <c r="K54" s="31"/>
      <c r="L54" s="33"/>
      <c r="N54" s="37"/>
    </row>
    <row r="55" spans="2:14" x14ac:dyDescent="0.25">
      <c r="B55" s="32"/>
      <c r="C55" s="31"/>
      <c r="D55" s="31"/>
      <c r="E55" s="31"/>
      <c r="F55" s="31"/>
      <c r="G55" s="31"/>
      <c r="H55" s="31"/>
      <c r="I55" s="31"/>
      <c r="J55" s="31"/>
      <c r="K55" s="31"/>
      <c r="L55" s="33"/>
      <c r="N55" s="37"/>
    </row>
    <row r="56" spans="2:14" x14ac:dyDescent="0.25">
      <c r="B56" s="32"/>
      <c r="C56" s="31"/>
      <c r="D56" s="31"/>
      <c r="E56" s="31"/>
      <c r="F56" s="31"/>
      <c r="G56" s="31"/>
      <c r="H56" s="31"/>
      <c r="I56" s="31"/>
      <c r="J56" s="31"/>
      <c r="K56" s="31"/>
      <c r="L56" s="33"/>
      <c r="N56" s="37"/>
    </row>
    <row r="57" spans="2:14" x14ac:dyDescent="0.25">
      <c r="B57" s="32"/>
      <c r="C57" s="31"/>
      <c r="D57" s="31"/>
      <c r="E57" s="31"/>
      <c r="F57" s="31"/>
      <c r="G57" s="31"/>
      <c r="H57" s="31"/>
      <c r="I57" s="31"/>
      <c r="J57" s="31"/>
      <c r="K57" s="31"/>
      <c r="L57" s="33"/>
      <c r="N57" s="37"/>
    </row>
    <row r="58" spans="2:14" x14ac:dyDescent="0.25">
      <c r="B58" s="32"/>
      <c r="C58" s="31"/>
      <c r="D58" s="31"/>
      <c r="E58" s="31"/>
      <c r="F58" s="31"/>
      <c r="G58" s="31"/>
      <c r="H58" s="31"/>
      <c r="I58" s="31"/>
      <c r="J58" s="31"/>
      <c r="K58" s="31"/>
      <c r="L58" s="33"/>
      <c r="N58" s="37"/>
    </row>
    <row r="59" spans="2:14" x14ac:dyDescent="0.25">
      <c r="B59" s="32"/>
      <c r="C59" s="31"/>
      <c r="D59" s="31"/>
      <c r="E59" s="31"/>
      <c r="F59" s="31"/>
      <c r="G59" s="31"/>
      <c r="H59" s="31"/>
      <c r="I59" s="31"/>
      <c r="J59" s="31"/>
      <c r="K59" s="31"/>
      <c r="L59" s="33"/>
      <c r="N59" s="37"/>
    </row>
    <row r="60" spans="2:14" x14ac:dyDescent="0.25">
      <c r="B60" s="32"/>
      <c r="C60" s="31"/>
      <c r="D60" s="31"/>
      <c r="E60" s="31"/>
      <c r="F60" s="31"/>
      <c r="G60" s="31"/>
      <c r="H60" s="31"/>
      <c r="I60" s="31"/>
      <c r="J60" s="31"/>
      <c r="K60" s="31"/>
      <c r="L60" s="33"/>
      <c r="N60" s="37"/>
    </row>
    <row r="61" spans="2:14" x14ac:dyDescent="0.25">
      <c r="B61" s="32"/>
      <c r="C61" s="31"/>
      <c r="D61" s="31"/>
      <c r="E61" s="31"/>
      <c r="F61" s="31"/>
      <c r="G61" s="31"/>
      <c r="H61" s="31"/>
      <c r="I61" s="31"/>
      <c r="J61" s="31"/>
      <c r="K61" s="31"/>
      <c r="L61" s="33"/>
      <c r="N61" s="37"/>
    </row>
    <row r="62" spans="2:14" x14ac:dyDescent="0.25">
      <c r="B62" s="32"/>
      <c r="C62" s="31"/>
      <c r="D62" s="31"/>
      <c r="E62" s="31"/>
      <c r="F62" s="31"/>
      <c r="G62" s="31"/>
      <c r="H62" s="31"/>
      <c r="I62" s="31"/>
      <c r="J62" s="31"/>
      <c r="K62" s="31"/>
      <c r="L62" s="33"/>
      <c r="N62" s="37"/>
    </row>
    <row r="63" spans="2:14" x14ac:dyDescent="0.25">
      <c r="B63" s="32"/>
      <c r="C63" s="31"/>
      <c r="D63" s="31"/>
      <c r="E63" s="31"/>
      <c r="F63" s="31"/>
      <c r="G63" s="31"/>
      <c r="H63" s="31"/>
      <c r="I63" s="31"/>
      <c r="J63" s="31"/>
      <c r="K63" s="31"/>
      <c r="L63" s="33"/>
      <c r="N63" s="37"/>
    </row>
    <row r="64" spans="2:14" x14ac:dyDescent="0.25">
      <c r="B64" s="32"/>
      <c r="C64" s="31"/>
      <c r="D64" s="31"/>
      <c r="E64" s="31"/>
      <c r="F64" s="31"/>
      <c r="G64" s="31"/>
      <c r="H64" s="31"/>
      <c r="I64" s="31"/>
      <c r="J64" s="31"/>
      <c r="K64" s="31"/>
      <c r="L64" s="33"/>
      <c r="N64" s="37"/>
    </row>
    <row r="65" spans="2:14" x14ac:dyDescent="0.25">
      <c r="B65" s="32"/>
      <c r="C65" s="31"/>
      <c r="D65" s="31"/>
      <c r="E65" s="31"/>
      <c r="F65" s="31"/>
      <c r="G65" s="31"/>
      <c r="H65" s="31"/>
      <c r="I65" s="31"/>
      <c r="J65" s="31"/>
      <c r="K65" s="31"/>
      <c r="L65" s="33"/>
      <c r="N65" s="37"/>
    </row>
    <row r="66" spans="2:14" x14ac:dyDescent="0.25">
      <c r="B66" s="32"/>
      <c r="C66" s="31"/>
      <c r="D66" s="31"/>
      <c r="E66" s="31"/>
      <c r="F66" s="31"/>
      <c r="G66" s="31"/>
      <c r="H66" s="31"/>
      <c r="I66" s="31"/>
      <c r="J66" s="31"/>
      <c r="K66" s="31"/>
      <c r="L66" s="33"/>
      <c r="N66" s="37"/>
    </row>
    <row r="67" spans="2:14" x14ac:dyDescent="0.25">
      <c r="B67" s="32"/>
      <c r="C67" s="31"/>
      <c r="D67" s="31"/>
      <c r="E67" s="31"/>
      <c r="F67" s="31"/>
      <c r="G67" s="31"/>
      <c r="H67" s="31"/>
      <c r="I67" s="31"/>
      <c r="J67" s="31"/>
      <c r="K67" s="31"/>
      <c r="L67" s="33"/>
      <c r="N67" s="37"/>
    </row>
    <row r="68" spans="2:14" x14ac:dyDescent="0.25">
      <c r="B68" s="32"/>
      <c r="C68" s="31"/>
      <c r="D68" s="31"/>
      <c r="E68" s="31"/>
      <c r="F68" s="31"/>
      <c r="G68" s="31"/>
      <c r="H68" s="31"/>
      <c r="I68" s="31"/>
      <c r="J68" s="31"/>
      <c r="K68" s="31"/>
      <c r="L68" s="33"/>
      <c r="N68" s="37"/>
    </row>
    <row r="69" spans="2:14" ht="15" customHeight="1" x14ac:dyDescent="0.25">
      <c r="B69" s="32"/>
      <c r="C69" s="31"/>
      <c r="D69" s="31"/>
      <c r="E69" s="31"/>
      <c r="F69" s="31"/>
      <c r="G69" s="31"/>
      <c r="H69" s="31"/>
      <c r="I69" s="31"/>
      <c r="J69" s="31"/>
      <c r="K69" s="31"/>
      <c r="L69" s="33"/>
      <c r="N69" s="37"/>
    </row>
    <row r="70" spans="2:14" x14ac:dyDescent="0.25">
      <c r="B70" s="32"/>
      <c r="C70" s="31"/>
      <c r="D70" s="31"/>
      <c r="E70" s="31"/>
      <c r="F70" s="31"/>
      <c r="G70" s="31"/>
      <c r="H70" s="31"/>
      <c r="I70" s="31"/>
      <c r="J70" s="31"/>
      <c r="K70" s="31"/>
      <c r="L70" s="33"/>
      <c r="N70" s="37"/>
    </row>
    <row r="71" spans="2:14" x14ac:dyDescent="0.25">
      <c r="B71" s="32"/>
      <c r="C71" s="31"/>
      <c r="D71" s="31"/>
      <c r="E71" s="31"/>
      <c r="F71" s="31"/>
      <c r="G71" s="31"/>
      <c r="H71" s="31"/>
      <c r="I71" s="31"/>
      <c r="J71" s="31"/>
      <c r="K71" s="31"/>
      <c r="L71" s="33"/>
      <c r="N71" s="37"/>
    </row>
    <row r="72" spans="2:14" x14ac:dyDescent="0.25">
      <c r="B72" s="32"/>
      <c r="C72" s="31"/>
      <c r="D72" s="31"/>
      <c r="E72" s="31"/>
      <c r="F72" s="31"/>
      <c r="G72" s="31"/>
      <c r="H72" s="31"/>
      <c r="I72" s="31"/>
      <c r="J72" s="31"/>
      <c r="K72" s="31"/>
      <c r="L72" s="33"/>
      <c r="N72" s="37"/>
    </row>
    <row r="73" spans="2:14" x14ac:dyDescent="0.25">
      <c r="B73" s="32"/>
      <c r="C73" s="31"/>
      <c r="D73" s="31"/>
      <c r="E73" s="31"/>
      <c r="F73" s="31"/>
      <c r="G73" s="31"/>
      <c r="H73" s="31"/>
      <c r="I73" s="31"/>
      <c r="J73" s="31"/>
      <c r="K73" s="31"/>
      <c r="L73" s="33"/>
      <c r="N73" s="37"/>
    </row>
    <row r="74" spans="2:14" x14ac:dyDescent="0.25">
      <c r="B74" s="32"/>
      <c r="C74" s="31"/>
      <c r="D74" s="31"/>
      <c r="E74" s="31"/>
      <c r="F74" s="31"/>
      <c r="G74" s="31"/>
      <c r="H74" s="31"/>
      <c r="I74" s="31"/>
      <c r="J74" s="31"/>
      <c r="K74" s="31"/>
      <c r="L74" s="33"/>
      <c r="N74" s="37"/>
    </row>
    <row r="75" spans="2:14" x14ac:dyDescent="0.25">
      <c r="B75" s="32"/>
      <c r="C75" s="31"/>
      <c r="D75" s="31"/>
      <c r="E75" s="31"/>
      <c r="F75" s="31"/>
      <c r="G75" s="31"/>
      <c r="H75" s="31"/>
      <c r="I75" s="31"/>
      <c r="J75" s="31"/>
      <c r="K75" s="31"/>
      <c r="L75" s="33"/>
      <c r="N75" s="37"/>
    </row>
    <row r="76" spans="2:14" x14ac:dyDescent="0.25">
      <c r="B76" s="32"/>
      <c r="C76" s="31"/>
      <c r="D76" s="31"/>
      <c r="E76" s="31"/>
      <c r="F76" s="31"/>
      <c r="G76" s="31"/>
      <c r="H76" s="31"/>
      <c r="I76" s="31"/>
      <c r="J76" s="31"/>
      <c r="K76" s="31"/>
      <c r="L76" s="33"/>
      <c r="N76" s="37"/>
    </row>
    <row r="77" spans="2:14" x14ac:dyDescent="0.25">
      <c r="B77" s="32"/>
      <c r="C77" s="31"/>
      <c r="D77" s="31"/>
      <c r="E77" s="31"/>
      <c r="F77" s="31"/>
      <c r="G77" s="31"/>
      <c r="H77" s="31"/>
      <c r="I77" s="31"/>
      <c r="J77" s="31"/>
      <c r="K77" s="31"/>
      <c r="L77" s="33"/>
      <c r="N77" s="37"/>
    </row>
    <row r="78" spans="2:14" x14ac:dyDescent="0.25">
      <c r="B78" s="32"/>
      <c r="C78" s="31"/>
      <c r="D78" s="31"/>
      <c r="E78" s="31"/>
      <c r="F78" s="31"/>
      <c r="G78" s="31"/>
      <c r="H78" s="31"/>
      <c r="I78" s="31"/>
      <c r="J78" s="31"/>
      <c r="K78" s="31"/>
      <c r="L78" s="33"/>
      <c r="N78" s="37"/>
    </row>
    <row r="79" spans="2:14" x14ac:dyDescent="0.25">
      <c r="B79" s="32"/>
      <c r="C79" s="31"/>
      <c r="D79" s="31"/>
      <c r="E79" s="31"/>
      <c r="F79" s="31"/>
      <c r="G79" s="31"/>
      <c r="H79" s="31"/>
      <c r="I79" s="31"/>
      <c r="J79" s="31"/>
      <c r="K79" s="31"/>
      <c r="L79" s="33"/>
      <c r="N79" s="37"/>
    </row>
    <row r="80" spans="2:14" x14ac:dyDescent="0.25">
      <c r="B80" s="32"/>
      <c r="C80" s="31"/>
      <c r="D80" s="31"/>
      <c r="E80" s="31"/>
      <c r="F80" s="31"/>
      <c r="G80" s="31"/>
      <c r="H80" s="31"/>
      <c r="I80" s="31"/>
      <c r="J80" s="31"/>
      <c r="K80" s="31"/>
      <c r="L80" s="33"/>
      <c r="N80" s="37"/>
    </row>
    <row r="81" spans="2:14" x14ac:dyDescent="0.25">
      <c r="B81" s="32"/>
      <c r="C81" s="31"/>
      <c r="D81" s="31"/>
      <c r="E81" s="31"/>
      <c r="F81" s="31"/>
      <c r="G81" s="31"/>
      <c r="H81" s="31"/>
      <c r="I81" s="31"/>
      <c r="J81" s="31"/>
      <c r="K81" s="31"/>
      <c r="L81" s="33"/>
      <c r="N81" s="37"/>
    </row>
    <row r="82" spans="2:14" x14ac:dyDescent="0.25">
      <c r="B82" s="32"/>
      <c r="C82" s="31"/>
      <c r="D82" s="31"/>
      <c r="E82" s="31"/>
      <c r="F82" s="31"/>
      <c r="G82" s="31"/>
      <c r="H82" s="31"/>
      <c r="I82" s="31"/>
      <c r="J82" s="31"/>
      <c r="K82" s="31"/>
      <c r="L82" s="33"/>
      <c r="N82" s="37"/>
    </row>
    <row r="83" spans="2:14" x14ac:dyDescent="0.25">
      <c r="B83" s="32"/>
      <c r="C83" s="31"/>
      <c r="D83" s="31"/>
      <c r="E83" s="31"/>
      <c r="F83" s="31"/>
      <c r="G83" s="31"/>
      <c r="H83" s="31"/>
      <c r="I83" s="31"/>
      <c r="J83" s="31"/>
      <c r="K83" s="31"/>
      <c r="L83" s="33"/>
      <c r="N83" s="37"/>
    </row>
    <row r="84" spans="2:14" x14ac:dyDescent="0.25">
      <c r="B84" s="32"/>
      <c r="C84" s="31"/>
      <c r="D84" s="31"/>
      <c r="E84" s="31"/>
      <c r="F84" s="31"/>
      <c r="G84" s="31"/>
      <c r="H84" s="31"/>
      <c r="I84" s="31"/>
      <c r="J84" s="31"/>
      <c r="K84" s="31"/>
      <c r="L84" s="33"/>
      <c r="N84" s="37"/>
    </row>
    <row r="85" spans="2:14" x14ac:dyDescent="0.25">
      <c r="B85" s="32"/>
      <c r="C85" s="31"/>
      <c r="D85" s="31"/>
      <c r="E85" s="31"/>
      <c r="F85" s="31"/>
      <c r="G85" s="31"/>
      <c r="H85" s="31"/>
      <c r="I85" s="31"/>
      <c r="J85" s="31"/>
      <c r="K85" s="31"/>
      <c r="L85" s="33"/>
      <c r="N85" s="37"/>
    </row>
    <row r="86" spans="2:14" x14ac:dyDescent="0.25">
      <c r="B86" s="32"/>
      <c r="C86" s="31"/>
      <c r="D86" s="31"/>
      <c r="E86" s="31"/>
      <c r="F86" s="31"/>
      <c r="G86" s="31"/>
      <c r="H86" s="31"/>
      <c r="I86" s="31"/>
      <c r="J86" s="31"/>
      <c r="K86" s="31"/>
      <c r="L86" s="33"/>
      <c r="N86" s="37"/>
    </row>
    <row r="87" spans="2:14" x14ac:dyDescent="0.25">
      <c r="B87" s="32"/>
      <c r="C87" s="31"/>
      <c r="D87" s="31"/>
      <c r="E87" s="31"/>
      <c r="F87" s="31"/>
      <c r="G87" s="31"/>
      <c r="H87" s="31"/>
      <c r="I87" s="31"/>
      <c r="J87" s="31"/>
      <c r="K87" s="31"/>
      <c r="L87" s="33"/>
      <c r="N87" s="37"/>
    </row>
    <row r="88" spans="2:14" x14ac:dyDescent="0.25">
      <c r="B88" s="32"/>
      <c r="C88" s="31"/>
      <c r="D88" s="31"/>
      <c r="E88" s="31"/>
      <c r="F88" s="31"/>
      <c r="G88" s="31"/>
      <c r="H88" s="31"/>
      <c r="I88" s="31"/>
      <c r="J88" s="31"/>
      <c r="K88" s="31"/>
      <c r="L88" s="33"/>
      <c r="N88" s="37"/>
    </row>
    <row r="89" spans="2:14" x14ac:dyDescent="0.25">
      <c r="B89" s="32"/>
      <c r="C89" s="31"/>
      <c r="D89" s="31"/>
      <c r="E89" s="31"/>
      <c r="F89" s="31"/>
      <c r="G89" s="31"/>
      <c r="H89" s="31"/>
      <c r="I89" s="31"/>
      <c r="J89" s="31"/>
      <c r="K89" s="31"/>
      <c r="L89" s="33"/>
      <c r="N89" s="37"/>
    </row>
    <row r="90" spans="2:14" x14ac:dyDescent="0.25">
      <c r="B90" s="32"/>
      <c r="C90" s="31"/>
      <c r="D90" s="31"/>
      <c r="E90" s="31"/>
      <c r="F90" s="31"/>
      <c r="G90" s="31"/>
      <c r="H90" s="31"/>
      <c r="I90" s="31"/>
      <c r="J90" s="31"/>
      <c r="K90" s="31"/>
      <c r="L90" s="33"/>
      <c r="N90" s="37"/>
    </row>
    <row r="91" spans="2:14" x14ac:dyDescent="0.25">
      <c r="B91" s="32"/>
      <c r="C91" s="31"/>
      <c r="D91" s="31"/>
      <c r="E91" s="31"/>
      <c r="F91" s="31"/>
      <c r="G91" s="31"/>
      <c r="H91" s="31"/>
      <c r="I91" s="31"/>
      <c r="J91" s="31"/>
      <c r="K91" s="31"/>
      <c r="L91" s="33"/>
      <c r="N91" s="37"/>
    </row>
    <row r="92" spans="2:14" x14ac:dyDescent="0.25">
      <c r="B92" s="32"/>
      <c r="C92" s="31"/>
      <c r="D92" s="31"/>
      <c r="E92" s="31"/>
      <c r="F92" s="31"/>
      <c r="G92" s="31"/>
      <c r="H92" s="31"/>
      <c r="I92" s="31"/>
      <c r="J92" s="31"/>
      <c r="K92" s="31"/>
      <c r="L92" s="33"/>
      <c r="N92" s="37"/>
    </row>
    <row r="93" spans="2:14" x14ac:dyDescent="0.25">
      <c r="B93" s="32"/>
      <c r="C93" s="31"/>
      <c r="D93" s="31"/>
      <c r="E93" s="31"/>
      <c r="F93" s="31"/>
      <c r="G93" s="31"/>
      <c r="H93" s="31"/>
      <c r="I93" s="31"/>
      <c r="J93" s="31"/>
      <c r="K93" s="31"/>
      <c r="L93" s="33"/>
      <c r="N93" s="37"/>
    </row>
    <row r="94" spans="2:14" x14ac:dyDescent="0.25">
      <c r="B94" s="32"/>
      <c r="C94" s="31"/>
      <c r="D94" s="31"/>
      <c r="E94" s="31"/>
      <c r="F94" s="31"/>
      <c r="G94" s="31"/>
      <c r="H94" s="31"/>
      <c r="I94" s="31"/>
      <c r="J94" s="31"/>
      <c r="K94" s="31"/>
      <c r="L94" s="33"/>
      <c r="N94" s="37"/>
    </row>
    <row r="95" spans="2:14" x14ac:dyDescent="0.25">
      <c r="B95" s="32"/>
      <c r="C95" s="31"/>
      <c r="D95" s="31"/>
      <c r="E95" s="31"/>
      <c r="F95" s="31"/>
      <c r="G95" s="31"/>
      <c r="H95" s="31"/>
      <c r="I95" s="31"/>
      <c r="J95" s="31"/>
      <c r="K95" s="31"/>
      <c r="L95" s="33"/>
      <c r="N95" s="37"/>
    </row>
    <row r="96" spans="2:14" x14ac:dyDescent="0.25">
      <c r="B96" s="32"/>
      <c r="C96" s="31"/>
      <c r="D96" s="31"/>
      <c r="E96" s="31"/>
      <c r="F96" s="31"/>
      <c r="G96" s="31"/>
      <c r="H96" s="31"/>
      <c r="I96" s="31"/>
      <c r="J96" s="31"/>
      <c r="K96" s="31"/>
      <c r="L96" s="33"/>
      <c r="N96" s="37"/>
    </row>
    <row r="97" spans="2:14" x14ac:dyDescent="0.25">
      <c r="B97" s="32"/>
      <c r="C97" s="31"/>
      <c r="D97" s="31"/>
      <c r="E97" s="31"/>
      <c r="F97" s="31"/>
      <c r="G97" s="31"/>
      <c r="H97" s="31"/>
      <c r="I97" s="31"/>
      <c r="J97" s="31"/>
      <c r="K97" s="31"/>
      <c r="L97" s="33"/>
      <c r="N97" s="37"/>
    </row>
    <row r="98" spans="2:14" x14ac:dyDescent="0.25">
      <c r="B98" s="32"/>
      <c r="C98" s="31"/>
      <c r="D98" s="31"/>
      <c r="E98" s="31"/>
      <c r="F98" s="31"/>
      <c r="G98" s="31"/>
      <c r="H98" s="31"/>
      <c r="I98" s="31"/>
      <c r="J98" s="31"/>
      <c r="K98" s="31"/>
      <c r="L98" s="33"/>
      <c r="N98" s="37"/>
    </row>
    <row r="99" spans="2:14" x14ac:dyDescent="0.25">
      <c r="B99" s="32"/>
      <c r="C99" s="31"/>
      <c r="D99" s="31"/>
      <c r="E99" s="31"/>
      <c r="F99" s="31"/>
      <c r="G99" s="31"/>
      <c r="H99" s="31"/>
      <c r="I99" s="31"/>
      <c r="J99" s="31"/>
      <c r="K99" s="31"/>
      <c r="L99" s="33"/>
      <c r="N99" s="37"/>
    </row>
    <row r="100" spans="2:14" x14ac:dyDescent="0.25">
      <c r="B100" s="32"/>
      <c r="C100" s="31"/>
      <c r="D100" s="31"/>
      <c r="E100" s="31"/>
      <c r="F100" s="31"/>
      <c r="G100" s="31"/>
      <c r="H100" s="31"/>
      <c r="I100" s="31"/>
      <c r="J100" s="31"/>
      <c r="K100" s="31"/>
      <c r="L100" s="33"/>
      <c r="N100" s="37"/>
    </row>
    <row r="101" spans="2:14" x14ac:dyDescent="0.25">
      <c r="B101" s="32"/>
      <c r="C101" s="31"/>
      <c r="D101" s="31"/>
      <c r="E101" s="31"/>
      <c r="F101" s="31"/>
      <c r="G101" s="31"/>
      <c r="H101" s="31"/>
      <c r="I101" s="31"/>
      <c r="J101" s="31"/>
      <c r="K101" s="31"/>
      <c r="L101" s="33"/>
      <c r="N101" s="37"/>
    </row>
    <row r="102" spans="2:14" x14ac:dyDescent="0.25">
      <c r="B102" s="32"/>
      <c r="C102" s="31"/>
      <c r="D102" s="31"/>
      <c r="E102" s="31"/>
      <c r="F102" s="31"/>
      <c r="G102" s="31"/>
      <c r="H102" s="31"/>
      <c r="I102" s="31"/>
      <c r="J102" s="31"/>
      <c r="K102" s="31"/>
      <c r="L102" s="33"/>
      <c r="N102" s="37"/>
    </row>
    <row r="103" spans="2:14" x14ac:dyDescent="0.25">
      <c r="B103" s="32"/>
      <c r="C103" s="31"/>
      <c r="D103" s="31"/>
      <c r="E103" s="31"/>
      <c r="F103" s="31"/>
      <c r="G103" s="31"/>
      <c r="H103" s="31"/>
      <c r="I103" s="31"/>
      <c r="J103" s="31"/>
      <c r="K103" s="31"/>
      <c r="L103" s="33"/>
      <c r="N103" s="37"/>
    </row>
    <row r="104" spans="2:14" x14ac:dyDescent="0.25">
      <c r="B104" s="32"/>
      <c r="C104" s="31"/>
      <c r="D104" s="31"/>
      <c r="E104" s="31"/>
      <c r="F104" s="31"/>
      <c r="G104" s="31"/>
      <c r="H104" s="31"/>
      <c r="I104" s="31"/>
      <c r="J104" s="31"/>
      <c r="K104" s="31"/>
      <c r="L104" s="33"/>
      <c r="N104" s="37"/>
    </row>
    <row r="105" spans="2:14" x14ac:dyDescent="0.25">
      <c r="B105" s="32"/>
      <c r="C105" s="31"/>
      <c r="D105" s="31"/>
      <c r="E105" s="31"/>
      <c r="F105" s="31"/>
      <c r="G105" s="31"/>
      <c r="H105" s="31"/>
      <c r="I105" s="31"/>
      <c r="J105" s="31"/>
      <c r="K105" s="31"/>
      <c r="L105" s="33"/>
      <c r="N105" s="37"/>
    </row>
    <row r="106" spans="2:14" x14ac:dyDescent="0.25">
      <c r="B106" s="32"/>
      <c r="C106" s="31"/>
      <c r="D106" s="31"/>
      <c r="E106" s="31"/>
      <c r="F106" s="31"/>
      <c r="G106" s="31"/>
      <c r="H106" s="31"/>
      <c r="I106" s="31"/>
      <c r="J106" s="31"/>
      <c r="K106" s="31"/>
      <c r="L106" s="33"/>
      <c r="N106" s="37"/>
    </row>
    <row r="107" spans="2:14" x14ac:dyDescent="0.25">
      <c r="B107" s="32"/>
      <c r="C107" s="31"/>
      <c r="D107" s="31"/>
      <c r="E107" s="31"/>
      <c r="F107" s="31"/>
      <c r="G107" s="31"/>
      <c r="H107" s="31"/>
      <c r="I107" s="31"/>
      <c r="J107" s="31"/>
      <c r="K107" s="31"/>
      <c r="L107" s="33"/>
      <c r="N107" s="37"/>
    </row>
    <row r="108" spans="2:14" x14ac:dyDescent="0.25">
      <c r="B108" s="32"/>
      <c r="C108" s="31"/>
      <c r="D108" s="31"/>
      <c r="E108" s="31"/>
      <c r="F108" s="31"/>
      <c r="G108" s="31"/>
      <c r="H108" s="31"/>
      <c r="I108" s="31"/>
      <c r="J108" s="31"/>
      <c r="K108" s="31"/>
      <c r="L108" s="33"/>
      <c r="N108" s="37"/>
    </row>
    <row r="109" spans="2:14" x14ac:dyDescent="0.25">
      <c r="B109" s="32"/>
      <c r="C109" s="31"/>
      <c r="D109" s="31"/>
      <c r="E109" s="31"/>
      <c r="F109" s="31"/>
      <c r="G109" s="31"/>
      <c r="H109" s="31"/>
      <c r="I109" s="31"/>
      <c r="J109" s="31"/>
      <c r="K109" s="31"/>
      <c r="L109" s="33"/>
      <c r="N109" s="37"/>
    </row>
    <row r="110" spans="2:14" x14ac:dyDescent="0.25">
      <c r="B110" s="32"/>
      <c r="C110" s="31"/>
      <c r="D110" s="31"/>
      <c r="E110" s="31"/>
      <c r="F110" s="31"/>
      <c r="G110" s="31"/>
      <c r="H110" s="31"/>
      <c r="I110" s="31"/>
      <c r="J110" s="31"/>
      <c r="K110" s="31"/>
      <c r="L110" s="33"/>
      <c r="N110" s="37"/>
    </row>
    <row r="111" spans="2:14" x14ac:dyDescent="0.25">
      <c r="B111" s="32"/>
      <c r="C111" s="31"/>
      <c r="D111" s="31"/>
      <c r="E111" s="31"/>
      <c r="F111" s="31"/>
      <c r="G111" s="31"/>
      <c r="H111" s="31"/>
      <c r="I111" s="31"/>
      <c r="J111" s="31"/>
      <c r="K111" s="31"/>
      <c r="L111" s="33"/>
      <c r="N111" s="37"/>
    </row>
    <row r="112" spans="2:14" x14ac:dyDescent="0.25">
      <c r="B112" s="32"/>
      <c r="C112" s="31"/>
      <c r="D112" s="31"/>
      <c r="E112" s="31"/>
      <c r="F112" s="31"/>
      <c r="G112" s="31"/>
      <c r="H112" s="31"/>
      <c r="I112" s="31"/>
      <c r="J112" s="31"/>
      <c r="K112" s="31"/>
      <c r="L112" s="33"/>
      <c r="N112" s="37"/>
    </row>
    <row r="113" spans="2:14" x14ac:dyDescent="0.25">
      <c r="B113" s="32"/>
      <c r="C113" s="31"/>
      <c r="D113" s="31"/>
      <c r="E113" s="31"/>
      <c r="F113" s="31"/>
      <c r="G113" s="31"/>
      <c r="H113" s="31"/>
      <c r="I113" s="31"/>
      <c r="J113" s="31"/>
      <c r="K113" s="31"/>
      <c r="L113" s="33"/>
      <c r="N113" s="37"/>
    </row>
    <row r="114" spans="2:14" x14ac:dyDescent="0.25">
      <c r="B114" s="32"/>
      <c r="C114" s="31"/>
      <c r="D114" s="31"/>
      <c r="E114" s="31"/>
      <c r="F114" s="31"/>
      <c r="G114" s="31"/>
      <c r="H114" s="31"/>
      <c r="I114" s="31"/>
      <c r="J114" s="31"/>
      <c r="K114" s="31"/>
      <c r="L114" s="33"/>
      <c r="N114" s="37"/>
    </row>
    <row r="115" spans="2:14" x14ac:dyDescent="0.25">
      <c r="B115" s="32"/>
      <c r="C115" s="31"/>
      <c r="D115" s="31"/>
      <c r="E115" s="31"/>
      <c r="F115" s="31"/>
      <c r="G115" s="31"/>
      <c r="H115" s="31"/>
      <c r="I115" s="31"/>
      <c r="J115" s="31"/>
      <c r="K115" s="31"/>
      <c r="L115" s="33"/>
      <c r="N115" s="37"/>
    </row>
    <row r="116" spans="2:14" x14ac:dyDescent="0.25">
      <c r="B116" s="32"/>
      <c r="C116" s="31"/>
      <c r="D116" s="31"/>
      <c r="E116" s="31"/>
      <c r="F116" s="31"/>
      <c r="G116" s="31"/>
      <c r="H116" s="31"/>
      <c r="I116" s="31"/>
      <c r="J116" s="31"/>
      <c r="K116" s="31"/>
      <c r="L116" s="33"/>
      <c r="N116" s="37"/>
    </row>
    <row r="117" spans="2:14" x14ac:dyDescent="0.25">
      <c r="B117" s="32"/>
      <c r="C117" s="31"/>
      <c r="D117" s="31"/>
      <c r="E117" s="31"/>
      <c r="F117" s="31"/>
      <c r="G117" s="31"/>
      <c r="H117" s="31"/>
      <c r="I117" s="31"/>
      <c r="J117" s="31"/>
      <c r="K117" s="31"/>
      <c r="L117" s="33"/>
      <c r="N117" s="37"/>
    </row>
    <row r="118" spans="2:14" x14ac:dyDescent="0.25">
      <c r="B118" s="32"/>
      <c r="C118" s="31"/>
      <c r="D118" s="31"/>
      <c r="E118" s="31"/>
      <c r="F118" s="31"/>
      <c r="G118" s="31"/>
      <c r="H118" s="31"/>
      <c r="I118" s="31"/>
      <c r="J118" s="31"/>
      <c r="K118" s="31"/>
      <c r="L118" s="33"/>
      <c r="N118" s="37"/>
    </row>
    <row r="119" spans="2:14" x14ac:dyDescent="0.25">
      <c r="B119" s="32"/>
      <c r="C119" s="31"/>
      <c r="D119" s="31"/>
      <c r="E119" s="31"/>
      <c r="F119" s="31"/>
      <c r="G119" s="31"/>
      <c r="H119" s="31"/>
      <c r="I119" s="31"/>
      <c r="J119" s="31"/>
      <c r="K119" s="31"/>
      <c r="L119" s="33"/>
      <c r="N119" s="37"/>
    </row>
    <row r="120" spans="2:14" x14ac:dyDescent="0.25">
      <c r="B120" s="32"/>
      <c r="C120" s="31"/>
      <c r="D120" s="31"/>
      <c r="E120" s="31"/>
      <c r="F120" s="31"/>
      <c r="G120" s="31"/>
      <c r="H120" s="31"/>
      <c r="I120" s="31"/>
      <c r="J120" s="31"/>
      <c r="K120" s="31"/>
      <c r="L120" s="33"/>
      <c r="N120" s="37"/>
    </row>
    <row r="121" spans="2:14" x14ac:dyDescent="0.25">
      <c r="B121" s="32"/>
      <c r="C121" s="31"/>
      <c r="D121" s="31"/>
      <c r="E121" s="31"/>
      <c r="F121" s="31"/>
      <c r="G121" s="31"/>
      <c r="H121" s="31"/>
      <c r="I121" s="31"/>
      <c r="J121" s="31"/>
      <c r="K121" s="31"/>
      <c r="L121" s="33"/>
      <c r="N121" s="37"/>
    </row>
    <row r="122" spans="2:14" x14ac:dyDescent="0.25">
      <c r="B122" s="32"/>
      <c r="C122" s="31"/>
      <c r="D122" s="31"/>
      <c r="E122" s="31"/>
      <c r="F122" s="31"/>
      <c r="G122" s="31"/>
      <c r="H122" s="31"/>
      <c r="I122" s="31"/>
      <c r="J122" s="31"/>
      <c r="K122" s="31"/>
      <c r="L122" s="33"/>
      <c r="N122" s="37"/>
    </row>
    <row r="123" spans="2:14" x14ac:dyDescent="0.25">
      <c r="B123" s="32"/>
      <c r="C123" s="31"/>
      <c r="D123" s="31"/>
      <c r="E123" s="31"/>
      <c r="F123" s="31"/>
      <c r="G123" s="31"/>
      <c r="H123" s="31"/>
      <c r="I123" s="31"/>
      <c r="J123" s="31"/>
      <c r="K123" s="31"/>
      <c r="L123" s="33"/>
      <c r="N123" s="37"/>
    </row>
    <row r="124" spans="2:14" x14ac:dyDescent="0.25">
      <c r="B124" s="32"/>
      <c r="C124" s="31"/>
      <c r="D124" s="31"/>
      <c r="E124" s="31"/>
      <c r="F124" s="31"/>
      <c r="G124" s="31"/>
      <c r="H124" s="31"/>
      <c r="I124" s="31"/>
      <c r="J124" s="31"/>
      <c r="K124" s="31"/>
      <c r="L124" s="33"/>
      <c r="N124" s="37"/>
    </row>
    <row r="125" spans="2:14" x14ac:dyDescent="0.25">
      <c r="B125" s="32"/>
      <c r="C125" s="31"/>
      <c r="D125" s="31"/>
      <c r="E125" s="31"/>
      <c r="F125" s="31"/>
      <c r="G125" s="31"/>
      <c r="H125" s="31"/>
      <c r="I125" s="31"/>
      <c r="J125" s="31"/>
      <c r="K125" s="31"/>
      <c r="L125" s="33"/>
      <c r="N125" s="37"/>
    </row>
    <row r="126" spans="2:14" x14ac:dyDescent="0.25">
      <c r="B126" s="32"/>
      <c r="C126" s="31"/>
      <c r="D126" s="31"/>
      <c r="E126" s="31"/>
      <c r="F126" s="31"/>
      <c r="G126" s="31"/>
      <c r="H126" s="31"/>
      <c r="I126" s="31"/>
      <c r="J126" s="31"/>
      <c r="K126" s="31"/>
      <c r="L126" s="33"/>
      <c r="N126" s="37"/>
    </row>
    <row r="127" spans="2:14" ht="15.75" thickBot="1" x14ac:dyDescent="0.3">
      <c r="B127" s="34"/>
      <c r="C127" s="35"/>
      <c r="D127" s="35"/>
      <c r="E127" s="35"/>
      <c r="F127" s="35"/>
      <c r="G127" s="35"/>
      <c r="H127" s="35"/>
      <c r="I127" s="35"/>
      <c r="J127" s="35"/>
      <c r="K127" s="35"/>
      <c r="L127" s="36"/>
      <c r="N127" s="37"/>
    </row>
    <row r="168" spans="2:12" x14ac:dyDescent="0.25">
      <c r="B168" s="39"/>
      <c r="L168" s="39"/>
    </row>
    <row r="169" spans="2:12" x14ac:dyDescent="0.25">
      <c r="B169" s="39"/>
      <c r="L169" s="39"/>
    </row>
  </sheetData>
  <autoFilter ref="B26:L26">
    <sortState ref="B27:L50">
      <sortCondition ref="B26"/>
    </sortState>
  </autoFilter>
  <mergeCells count="1">
    <mergeCell ref="B13:N13"/>
  </mergeCells>
  <conditionalFormatting sqref="D7">
    <cfRule type="iconSet" priority="1">
      <iconSet showValue="0">
        <cfvo type="percent" val="0"/>
        <cfvo type="num" val="0" gte="0"/>
        <cfvo type="num" val="1"/>
      </iconSet>
    </cfRule>
  </conditionalFormatting>
  <dataValidations count="5">
    <dataValidation type="list" showInputMessage="1" showErrorMessage="1" sqref="D6">
      <formula1>"PROD,BETA"</formula1>
    </dataValidation>
    <dataValidation type="list" showInputMessage="1" showErrorMessage="1" sqref="H11 K15:K19">
      <formula1>"DAY,GTC,IOC"</formula1>
    </dataValidation>
    <dataValidation type="list" showInputMessage="1" showErrorMessage="1" sqref="L15:L19 I11">
      <formula1>"ANY,MAN,AUTO"</formula1>
    </dataValidation>
    <dataValidation type="list" showInputMessage="1" showErrorMessage="1" sqref="E11 F23">
      <formula1>"MKT,LMT"</formula1>
    </dataValidation>
    <dataValidation type="list" allowBlank="1" showInputMessage="1" showErrorMessage="1" sqref="H23">
      <formula1>"DAY,GTC,IOC"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6" r:id="rId4" name="CancelAll">
          <controlPr autoLine="0" r:id="rId5">
            <anchor moveWithCells="1">
              <from>
                <xdr:col>10</xdr:col>
                <xdr:colOff>28575</xdr:colOff>
                <xdr:row>21</xdr:row>
                <xdr:rowOff>47625</xdr:rowOff>
              </from>
              <to>
                <xdr:col>11</xdr:col>
                <xdr:colOff>762000</xdr:colOff>
                <xdr:row>22</xdr:row>
                <xdr:rowOff>190500</xdr:rowOff>
              </to>
            </anchor>
          </controlPr>
        </control>
      </mc:Choice>
      <mc:Fallback>
        <control shapeId="1056" r:id="rId4" name="CancelAll"/>
      </mc:Fallback>
    </mc:AlternateContent>
    <mc:AlternateContent xmlns:mc="http://schemas.openxmlformats.org/markup-compatibility/2006">
      <mc:Choice Requires="x14">
        <control shapeId="1044" r:id="rId6" name="Start_Stop">
          <controlPr autoLine="0" r:id="rId7">
            <anchor moveWithCells="1">
              <from>
                <xdr:col>1</xdr:col>
                <xdr:colOff>19050</xdr:colOff>
                <xdr:row>4</xdr:row>
                <xdr:rowOff>28575</xdr:rowOff>
              </from>
              <to>
                <xdr:col>1</xdr:col>
                <xdr:colOff>904875</xdr:colOff>
                <xdr:row>7</xdr:row>
                <xdr:rowOff>9525</xdr:rowOff>
              </to>
            </anchor>
          </controlPr>
        </control>
      </mc:Choice>
      <mc:Fallback>
        <control shapeId="1044" r:id="rId6" name="Start_Stop"/>
      </mc:Fallback>
    </mc:AlternateContent>
    <mc:AlternateContent xmlns:mc="http://schemas.openxmlformats.org/markup-compatibility/2006">
      <mc:Choice Requires="x14">
        <control shapeId="1049" r:id="rId8" name="FirstEntryBuy">
          <controlPr autoLine="0" r:id="rId9">
            <anchor moveWithCells="1">
              <from>
                <xdr:col>9</xdr:col>
                <xdr:colOff>133350</xdr:colOff>
                <xdr:row>9</xdr:row>
                <xdr:rowOff>38100</xdr:rowOff>
              </from>
              <to>
                <xdr:col>9</xdr:col>
                <xdr:colOff>990600</xdr:colOff>
                <xdr:row>10</xdr:row>
                <xdr:rowOff>152400</xdr:rowOff>
              </to>
            </anchor>
          </controlPr>
        </control>
      </mc:Choice>
      <mc:Fallback>
        <control shapeId="1049" r:id="rId8" name="FirstEntryBuy"/>
      </mc:Fallback>
    </mc:AlternateContent>
    <mc:AlternateContent xmlns:mc="http://schemas.openxmlformats.org/markup-compatibility/2006">
      <mc:Choice Requires="x14">
        <control shapeId="1050" r:id="rId10" name="FirstEntrySell">
          <controlPr autoLine="0" r:id="rId11">
            <anchor moveWithCells="1">
              <from>
                <xdr:col>9</xdr:col>
                <xdr:colOff>1009650</xdr:colOff>
                <xdr:row>9</xdr:row>
                <xdr:rowOff>38100</xdr:rowOff>
              </from>
              <to>
                <xdr:col>10</xdr:col>
                <xdr:colOff>885825</xdr:colOff>
                <xdr:row>10</xdr:row>
                <xdr:rowOff>152400</xdr:rowOff>
              </to>
            </anchor>
          </controlPr>
        </control>
      </mc:Choice>
      <mc:Fallback>
        <control shapeId="1050" r:id="rId10" name="FirstEntrySell"/>
      </mc:Fallback>
    </mc:AlternateContent>
    <mc:AlternateContent xmlns:mc="http://schemas.openxmlformats.org/markup-compatibility/2006">
      <mc:Choice Requires="x14">
        <control shapeId="1057" r:id="rId12" name="BuyButton1">
          <controlPr autoLine="0" r:id="rId13">
            <anchor moveWithCells="1">
              <from>
                <xdr:col>12</xdr:col>
                <xdr:colOff>9525</xdr:colOff>
                <xdr:row>13</xdr:row>
                <xdr:rowOff>152400</xdr:rowOff>
              </from>
              <to>
                <xdr:col>12</xdr:col>
                <xdr:colOff>781050</xdr:colOff>
                <xdr:row>14</xdr:row>
                <xdr:rowOff>171450</xdr:rowOff>
              </to>
            </anchor>
          </controlPr>
        </control>
      </mc:Choice>
      <mc:Fallback>
        <control shapeId="1057" r:id="rId12" name="BuyButton1"/>
      </mc:Fallback>
    </mc:AlternateContent>
    <mc:AlternateContent xmlns:mc="http://schemas.openxmlformats.org/markup-compatibility/2006">
      <mc:Choice Requires="x14">
        <control shapeId="1063" r:id="rId14" name="BuyButton2">
          <controlPr autoLine="0" r:id="rId15">
            <anchor moveWithCells="1">
              <from>
                <xdr:col>12</xdr:col>
                <xdr:colOff>9525</xdr:colOff>
                <xdr:row>14</xdr:row>
                <xdr:rowOff>161925</xdr:rowOff>
              </from>
              <to>
                <xdr:col>12</xdr:col>
                <xdr:colOff>781050</xdr:colOff>
                <xdr:row>15</xdr:row>
                <xdr:rowOff>180975</xdr:rowOff>
              </to>
            </anchor>
          </controlPr>
        </control>
      </mc:Choice>
      <mc:Fallback>
        <control shapeId="1063" r:id="rId14" name="BuyButton2"/>
      </mc:Fallback>
    </mc:AlternateContent>
    <mc:AlternateContent xmlns:mc="http://schemas.openxmlformats.org/markup-compatibility/2006">
      <mc:Choice Requires="x14">
        <control shapeId="1064" r:id="rId16" name="BuyButton3">
          <controlPr autoLine="0" r:id="rId17">
            <anchor moveWithCells="1">
              <from>
                <xdr:col>12</xdr:col>
                <xdr:colOff>9525</xdr:colOff>
                <xdr:row>15</xdr:row>
                <xdr:rowOff>171450</xdr:rowOff>
              </from>
              <to>
                <xdr:col>12</xdr:col>
                <xdr:colOff>781050</xdr:colOff>
                <xdr:row>17</xdr:row>
                <xdr:rowOff>0</xdr:rowOff>
              </to>
            </anchor>
          </controlPr>
        </control>
      </mc:Choice>
      <mc:Fallback>
        <control shapeId="1064" r:id="rId16" name="BuyButton3"/>
      </mc:Fallback>
    </mc:AlternateContent>
    <mc:AlternateContent xmlns:mc="http://schemas.openxmlformats.org/markup-compatibility/2006">
      <mc:Choice Requires="x14">
        <control shapeId="1065" r:id="rId18" name="BuyButton4">
          <controlPr autoLine="0" r:id="rId19">
            <anchor moveWithCells="1">
              <from>
                <xdr:col>12</xdr:col>
                <xdr:colOff>9525</xdr:colOff>
                <xdr:row>16</xdr:row>
                <xdr:rowOff>171450</xdr:rowOff>
              </from>
              <to>
                <xdr:col>12</xdr:col>
                <xdr:colOff>781050</xdr:colOff>
                <xdr:row>18</xdr:row>
                <xdr:rowOff>0</xdr:rowOff>
              </to>
            </anchor>
          </controlPr>
        </control>
      </mc:Choice>
      <mc:Fallback>
        <control shapeId="1065" r:id="rId18" name="BuyButton4"/>
      </mc:Fallback>
    </mc:AlternateContent>
    <mc:AlternateContent xmlns:mc="http://schemas.openxmlformats.org/markup-compatibility/2006">
      <mc:Choice Requires="x14">
        <control shapeId="1066" r:id="rId20" name="BuyButton5">
          <controlPr autoLine="0" r:id="rId21">
            <anchor moveWithCells="1">
              <from>
                <xdr:col>12</xdr:col>
                <xdr:colOff>9525</xdr:colOff>
                <xdr:row>17</xdr:row>
                <xdr:rowOff>180975</xdr:rowOff>
              </from>
              <to>
                <xdr:col>12</xdr:col>
                <xdr:colOff>781050</xdr:colOff>
                <xdr:row>19</xdr:row>
                <xdr:rowOff>0</xdr:rowOff>
              </to>
            </anchor>
          </controlPr>
        </control>
      </mc:Choice>
      <mc:Fallback>
        <control shapeId="1066" r:id="rId20" name="BuyButton5"/>
      </mc:Fallback>
    </mc:AlternateContent>
    <mc:AlternateContent xmlns:mc="http://schemas.openxmlformats.org/markup-compatibility/2006">
      <mc:Choice Requires="x14">
        <control shapeId="1068" r:id="rId22" name="SellButton1">
          <controlPr autoLine="0" r:id="rId23">
            <anchor moveWithCells="1">
              <from>
                <xdr:col>13</xdr:col>
                <xdr:colOff>0</xdr:colOff>
                <xdr:row>13</xdr:row>
                <xdr:rowOff>152400</xdr:rowOff>
              </from>
              <to>
                <xdr:col>13</xdr:col>
                <xdr:colOff>771525</xdr:colOff>
                <xdr:row>14</xdr:row>
                <xdr:rowOff>171450</xdr:rowOff>
              </to>
            </anchor>
          </controlPr>
        </control>
      </mc:Choice>
      <mc:Fallback>
        <control shapeId="1068" r:id="rId22" name="SellButton1"/>
      </mc:Fallback>
    </mc:AlternateContent>
    <mc:AlternateContent xmlns:mc="http://schemas.openxmlformats.org/markup-compatibility/2006">
      <mc:Choice Requires="x14">
        <control shapeId="1069" r:id="rId24" name="SellButton2">
          <controlPr autoLine="0" r:id="rId25">
            <anchor moveWithCells="1">
              <from>
                <xdr:col>13</xdr:col>
                <xdr:colOff>0</xdr:colOff>
                <xdr:row>14</xdr:row>
                <xdr:rowOff>161925</xdr:rowOff>
              </from>
              <to>
                <xdr:col>13</xdr:col>
                <xdr:colOff>771525</xdr:colOff>
                <xdr:row>15</xdr:row>
                <xdr:rowOff>180975</xdr:rowOff>
              </to>
            </anchor>
          </controlPr>
        </control>
      </mc:Choice>
      <mc:Fallback>
        <control shapeId="1069" r:id="rId24" name="SellButton2"/>
      </mc:Fallback>
    </mc:AlternateContent>
    <mc:AlternateContent xmlns:mc="http://schemas.openxmlformats.org/markup-compatibility/2006">
      <mc:Choice Requires="x14">
        <control shapeId="1070" r:id="rId26" name="SellButton3">
          <controlPr autoLine="0" r:id="rId27">
            <anchor moveWithCells="1">
              <from>
                <xdr:col>13</xdr:col>
                <xdr:colOff>0</xdr:colOff>
                <xdr:row>15</xdr:row>
                <xdr:rowOff>171450</xdr:rowOff>
              </from>
              <to>
                <xdr:col>13</xdr:col>
                <xdr:colOff>771525</xdr:colOff>
                <xdr:row>17</xdr:row>
                <xdr:rowOff>0</xdr:rowOff>
              </to>
            </anchor>
          </controlPr>
        </control>
      </mc:Choice>
      <mc:Fallback>
        <control shapeId="1070" r:id="rId26" name="SellButton3"/>
      </mc:Fallback>
    </mc:AlternateContent>
    <mc:AlternateContent xmlns:mc="http://schemas.openxmlformats.org/markup-compatibility/2006">
      <mc:Choice Requires="x14">
        <control shapeId="1071" r:id="rId28" name="SellButton4">
          <controlPr autoLine="0" r:id="rId29">
            <anchor moveWithCells="1">
              <from>
                <xdr:col>13</xdr:col>
                <xdr:colOff>0</xdr:colOff>
                <xdr:row>16</xdr:row>
                <xdr:rowOff>180975</xdr:rowOff>
              </from>
              <to>
                <xdr:col>13</xdr:col>
                <xdr:colOff>771525</xdr:colOff>
                <xdr:row>18</xdr:row>
                <xdr:rowOff>9525</xdr:rowOff>
              </to>
            </anchor>
          </controlPr>
        </control>
      </mc:Choice>
      <mc:Fallback>
        <control shapeId="1071" r:id="rId28" name="SellButton4"/>
      </mc:Fallback>
    </mc:AlternateContent>
    <mc:AlternateContent xmlns:mc="http://schemas.openxmlformats.org/markup-compatibility/2006">
      <mc:Choice Requires="x14">
        <control shapeId="1072" r:id="rId30" name="SellButton5">
          <controlPr autoLine="0" r:id="rId31">
            <anchor moveWithCells="1">
              <from>
                <xdr:col>13</xdr:col>
                <xdr:colOff>0</xdr:colOff>
                <xdr:row>17</xdr:row>
                <xdr:rowOff>180975</xdr:rowOff>
              </from>
              <to>
                <xdr:col>13</xdr:col>
                <xdr:colOff>771525</xdr:colOff>
                <xdr:row>19</xdr:row>
                <xdr:rowOff>0</xdr:rowOff>
              </to>
            </anchor>
          </controlPr>
        </control>
      </mc:Choice>
      <mc:Fallback>
        <control shapeId="1072" r:id="rId30" name="SellButton5"/>
      </mc:Fallback>
    </mc:AlternateContent>
    <mc:AlternateContent xmlns:mc="http://schemas.openxmlformats.org/markup-compatibility/2006">
      <mc:Choice Requires="x14">
        <control shapeId="1078" r:id="rId32" name="ModButton">
          <controlPr autoLine="0" r:id="rId33">
            <anchor moveWithCells="1">
              <from>
                <xdr:col>8</xdr:col>
                <xdr:colOff>9525</xdr:colOff>
                <xdr:row>21</xdr:row>
                <xdr:rowOff>57150</xdr:rowOff>
              </from>
              <to>
                <xdr:col>9</xdr:col>
                <xdr:colOff>28575</xdr:colOff>
                <xdr:row>22</xdr:row>
                <xdr:rowOff>190500</xdr:rowOff>
              </to>
            </anchor>
          </controlPr>
        </control>
      </mc:Choice>
      <mc:Fallback>
        <control shapeId="1078" r:id="rId32" name="ModButton"/>
      </mc:Fallback>
    </mc:AlternateContent>
    <mc:AlternateContent xmlns:mc="http://schemas.openxmlformats.org/markup-compatibility/2006">
      <mc:Choice Requires="x14">
        <control shapeId="1079" r:id="rId34" name="CancelButton">
          <controlPr autoLine="0" r:id="rId35">
            <anchor moveWithCells="1">
              <from>
                <xdr:col>9</xdr:col>
                <xdr:colOff>57150</xdr:colOff>
                <xdr:row>21</xdr:row>
                <xdr:rowOff>57150</xdr:rowOff>
              </from>
              <to>
                <xdr:col>9</xdr:col>
                <xdr:colOff>971550</xdr:colOff>
                <xdr:row>22</xdr:row>
                <xdr:rowOff>190500</xdr:rowOff>
              </to>
            </anchor>
          </controlPr>
        </control>
      </mc:Choice>
      <mc:Fallback>
        <control shapeId="1079" r:id="rId34" name="Cancel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54</vt:i4>
      </vt:variant>
    </vt:vector>
  </HeadingPairs>
  <TitlesOfParts>
    <vt:vector size="55" baseType="lpstr">
      <vt:lpstr>Main</vt:lpstr>
      <vt:lpstr>Account</vt:lpstr>
      <vt:lpstr>Account1</vt:lpstr>
      <vt:lpstr>Account2</vt:lpstr>
      <vt:lpstr>Account3</vt:lpstr>
      <vt:lpstr>Account4</vt:lpstr>
      <vt:lpstr>Account5</vt:lpstr>
      <vt:lpstr>ask_1</vt:lpstr>
      <vt:lpstr>ask_2</vt:lpstr>
      <vt:lpstr>ask_3</vt:lpstr>
      <vt:lpstr>ask_4</vt:lpstr>
      <vt:lpstr>ask_5</vt:lpstr>
      <vt:lpstr>bid_1</vt:lpstr>
      <vt:lpstr>bid_2</vt:lpstr>
      <vt:lpstr>bid_3</vt:lpstr>
      <vt:lpstr>bid_4</vt:lpstr>
      <vt:lpstr>bid_5</vt:lpstr>
      <vt:lpstr>BlotterAnchor</vt:lpstr>
      <vt:lpstr>BrokerName</vt:lpstr>
      <vt:lpstr>BrokerName1</vt:lpstr>
      <vt:lpstr>BrokerName2</vt:lpstr>
      <vt:lpstr>BrokerName3</vt:lpstr>
      <vt:lpstr>BrokerName4</vt:lpstr>
      <vt:lpstr>BrokerName5</vt:lpstr>
      <vt:lpstr>Environment</vt:lpstr>
      <vt:lpstr>HandInst</vt:lpstr>
      <vt:lpstr>HandInst1</vt:lpstr>
      <vt:lpstr>HandInst2</vt:lpstr>
      <vt:lpstr>HandInst3</vt:lpstr>
      <vt:lpstr>HandInst4</vt:lpstr>
      <vt:lpstr>HandInst5</vt:lpstr>
      <vt:lpstr>Limit_Price</vt:lpstr>
      <vt:lpstr>OrderTIF</vt:lpstr>
      <vt:lpstr>OrderType</vt:lpstr>
      <vt:lpstr>PROD_BETA</vt:lpstr>
      <vt:lpstr>Quantity</vt:lpstr>
      <vt:lpstr>Quantity1</vt:lpstr>
      <vt:lpstr>Quantity2</vt:lpstr>
      <vt:lpstr>Quantity3</vt:lpstr>
      <vt:lpstr>Quantity4</vt:lpstr>
      <vt:lpstr>Quantity5</vt:lpstr>
      <vt:lpstr>Security</vt:lpstr>
      <vt:lpstr>SelectedAmount</vt:lpstr>
      <vt:lpstr>SelectedOrderType</vt:lpstr>
      <vt:lpstr>SelectedPrice</vt:lpstr>
      <vt:lpstr>SelectedRouteID</vt:lpstr>
      <vt:lpstr>SelectedSequence</vt:lpstr>
      <vt:lpstr>SelectedTicker</vt:lpstr>
      <vt:lpstr>SelectedTIF</vt:lpstr>
      <vt:lpstr>Status</vt:lpstr>
      <vt:lpstr>TIF_1</vt:lpstr>
      <vt:lpstr>TIF_2</vt:lpstr>
      <vt:lpstr>TIF_3</vt:lpstr>
      <vt:lpstr>TIF_4</vt:lpstr>
      <vt:lpstr>TIF_5</vt:lpstr>
    </vt:vector>
  </TitlesOfParts>
  <Company>Bloomberg L.P.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pcsu</dc:creator>
  <cp:lastModifiedBy>tkim94</cp:lastModifiedBy>
  <dcterms:created xsi:type="dcterms:W3CDTF">2014-08-14T06:54:55Z</dcterms:created>
  <dcterms:modified xsi:type="dcterms:W3CDTF">2015-07-30T12:55:19Z</dcterms:modified>
</cp:coreProperties>
</file>